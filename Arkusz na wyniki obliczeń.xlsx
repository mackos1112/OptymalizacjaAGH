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A1D16A4-F5A2-42A4-8115-3DC3B39A9657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" l="1"/>
  <c r="K7" i="4" a="1"/>
  <c r="K7" i="4" s="1"/>
  <c r="J7" i="4" a="1"/>
  <c r="J7" i="4" s="1"/>
  <c r="I7" i="4" a="1"/>
  <c r="I7" i="4" s="1"/>
  <c r="L6" i="4"/>
  <c r="K6" i="4" a="1"/>
  <c r="K6" i="4" s="1"/>
  <c r="J6" i="4" a="1"/>
  <c r="J6" i="4" s="1"/>
  <c r="I6" i="4" a="1"/>
  <c r="I6" i="4" s="1"/>
  <c r="L10" i="4"/>
  <c r="K10" i="4" a="1"/>
  <c r="K10" i="4" s="1"/>
  <c r="J10" i="4" a="1"/>
  <c r="J10" i="4" s="1"/>
  <c r="I10" i="4" a="1"/>
  <c r="I10" i="4" s="1"/>
  <c r="L9" i="4"/>
  <c r="K9" i="4" a="1"/>
  <c r="K9" i="4" s="1"/>
  <c r="J9" i="4" a="1"/>
  <c r="J9" i="4" s="1"/>
  <c r="I9" i="4" a="1"/>
  <c r="I9" i="4" s="1"/>
  <c r="H10" i="4"/>
  <c r="H9" i="4"/>
  <c r="H7" i="4"/>
  <c r="H6" i="4"/>
  <c r="F9" i="4" a="1"/>
  <c r="F9" i="4" s="1"/>
  <c r="G9" i="4" a="1"/>
  <c r="G9" i="4" s="1"/>
  <c r="F10" i="4" a="1"/>
  <c r="F10" i="4" s="1"/>
  <c r="G10" i="4" a="1"/>
  <c r="G10" i="4" s="1"/>
  <c r="E10" i="4" a="1"/>
  <c r="E10" i="4" s="1"/>
  <c r="E9" i="4" a="1"/>
  <c r="E9" i="4" s="1"/>
  <c r="F6" i="4" a="1"/>
  <c r="F6" i="4" s="1"/>
  <c r="G6" i="4" a="1"/>
  <c r="G6" i="4" s="1"/>
  <c r="F7" i="4" a="1"/>
  <c r="F7" i="4" s="1"/>
  <c r="G7" i="4" a="1"/>
  <c r="G7" i="4" s="1"/>
  <c r="E7" i="4" a="1"/>
  <c r="E7" i="4" s="1"/>
  <c r="E6" i="4" a="1"/>
  <c r="E6" i="4" s="1"/>
  <c r="E4" i="4" a="1"/>
  <c r="E4" i="4" s="1"/>
  <c r="J3" i="4" a="1"/>
  <c r="J3" i="4" s="1"/>
  <c r="K3" i="4" a="1"/>
  <c r="K3" i="4" s="1"/>
  <c r="J4" i="4" a="1"/>
  <c r="J4" i="4" s="1"/>
  <c r="K4" i="4" a="1"/>
  <c r="K4" i="4" s="1"/>
  <c r="I4" i="4" a="1"/>
  <c r="I4" i="4" s="1"/>
  <c r="I3" i="4" a="1"/>
  <c r="I3" i="4" s="1"/>
  <c r="L3" i="4"/>
  <c r="F4" i="4" a="1"/>
  <c r="F4" i="4" s="1"/>
  <c r="G4" i="4" a="1"/>
  <c r="G4" i="4" s="1"/>
  <c r="L4" i="4"/>
  <c r="H4" i="4"/>
  <c r="H3" i="4"/>
  <c r="G3" i="4" a="1"/>
  <c r="G3" i="4" s="1"/>
  <c r="F3" i="4" a="1"/>
  <c r="F3" i="4" s="1"/>
  <c r="E3" i="4" a="1"/>
  <c r="E3" i="4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" i="1"/>
  <c r="B9" i="4"/>
  <c r="B6" i="4"/>
  <c r="B3" i="4"/>
  <c r="C9" i="4"/>
  <c r="C6" i="4"/>
  <c r="C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<sst xmlns="http://schemas.openxmlformats.org/spreadsheetml/2006/main" count="70" uniqueCount="32">
  <si>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</si>
  <si>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</si>
  <si>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</si>
  <si>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</si>
  <si>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</si>
  <si>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</si>
  <si>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</si>
  <si>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</si>
  <si>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</si>
  <si>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</si>
  <si>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</si>
  <si>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</si>
  <si>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</si>
  <si>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</si>
  <si>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t</t>
  </si>
  <si>
    <t>Fibonacci</t>
  </si>
  <si>
    <t>Lagrange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</si>
  <si>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</si>
  <si>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</si>
  <si>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</si>
  <si>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</si>
  <si>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</si>
  <si>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</si>
  <si>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*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</si>
  <si>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</si>
  <si>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</si>
  <si>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</si>
  <si>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t>-7.44939e-18</t>
  </si>
  <si>
    <t>2.06002e-14</t>
  </si>
  <si>
    <t>2.0</t>
  </si>
  <si>
    <t>note</t>
  </si>
  <si>
    <t>fibi czesciej znajduje globalny ale langrangi jest szybszy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</si>
</sst>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73" formatCode="0.00000000000"/>
    <numFmt numFmtId="174" formatCode="0.000000000000"/>
  </numFmts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/>
    <xf numFmtId="0" fontId="0" fillId="0" borderId="18" xfId="0" applyBorder="1" applyAlignment="1">
      <alignment horizontal="center" vertical="center" wrapText="1"/>
    </xf>
    <xf numFmtId="0" fontId="0" fillId="0" borderId="20" xfId="0" applyBorder="1"/>
    <xf numFmtId="0" fontId="0" fillId="0" borderId="7" xfId="0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5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17" xfId="0" applyNumberFormat="1" applyBorder="1"/>
    <xf numFmtId="1" fontId="0" fillId="0" borderId="20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1" fontId="0" fillId="0" borderId="25" xfId="0" applyNumberFormat="1" applyBorder="1"/>
    <xf numFmtId="1" fontId="0" fillId="0" borderId="29" xfId="0" applyNumberFormat="1" applyBorder="1"/>
    <xf numFmtId="1" fontId="0" fillId="0" borderId="0" xfId="0" applyNumberFormat="1"/>
    <xf numFmtId="1" fontId="0" fillId="0" borderId="4" xfId="0" applyNumberFormat="1" applyBorder="1"/>
    <xf numFmtId="1" fontId="0" fillId="0" borderId="6" xfId="0" applyNumberFormat="1" applyBorder="1"/>
    <xf numFmtId="1" fontId="0" fillId="0" borderId="9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1" fontId="0" fillId="0" borderId="34" xfId="0" applyNumberFormat="1" applyBorder="1"/>
    <xf numFmtId="166" fontId="0" fillId="0" borderId="47" xfId="0" applyNumberFormat="1" applyBorder="1" applyAlignment="1">
      <alignment horizontal="center"/>
    </xf>
    <xf numFmtId="166" fontId="0" fillId="0" borderId="4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73" fontId="0" fillId="0" borderId="1" xfId="0" applyNumberFormat="1" applyBorder="1"/>
    <xf numFmtId="174" fontId="0" fillId="0" borderId="5" xfId="0" applyNumberFormat="1" applyBorder="1"/>
    <xf numFmtId="174" fontId="0" fillId="0" borderId="1" xfId="0" applyNumberFormat="1" applyBorder="1"/>
    <xf numFmtId="174" fontId="0" fillId="0" borderId="7" xfId="0" applyNumberFormat="1" applyBorder="1"/>
    <xf numFmtId="174" fontId="0" fillId="0" borderId="8" xfId="0" applyNumberFormat="1" applyBorder="1"/>
    <xf numFmtId="174" fontId="0" fillId="0" borderId="2" xfId="0" applyNumberFormat="1" applyBorder="1"/>
    <xf numFmtId="174" fontId="0" fillId="0" borderId="3" xfId="0" applyNumberFormat="1" applyBorder="1"/>
    <xf numFmtId="174" fontId="0" fillId="0" borderId="10" xfId="0" applyNumberFormat="1" applyBorder="1"/>
    <xf numFmtId="174" fontId="0" fillId="0" borderId="11" xfId="0" applyNumberFormat="1" applyBorder="1"/>
    <xf numFmtId="174" fontId="0" fillId="0" borderId="21" xfId="0" applyNumberFormat="1" applyBorder="1"/>
    <xf numFmtId="174" fontId="0" fillId="0" borderId="22" xfId="0" applyNumberFormat="1" applyBorder="1"/>
    <xf numFmtId="174" fontId="0" fillId="0" borderId="13" xfId="0" applyNumberFormat="1" applyBorder="1"/>
    <xf numFmtId="174" fontId="0" fillId="0" borderId="16" xfId="0" applyNumberFormat="1" applyBorder="1"/>
    <xf numFmtId="174" fontId="0" fillId="0" borderId="14" xfId="0" applyNumberFormat="1" applyBorder="1"/>
    <xf numFmtId="174" fontId="0" fillId="0" borderId="15" xfId="0" applyNumberFormat="1" applyBorder="1"/>
    <xf numFmtId="174" fontId="0" fillId="0" borderId="24" xfId="0" applyNumberFormat="1" applyBorder="1"/>
    <xf numFmtId="0" fontId="0" fillId="0" borderId="45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Długość przedziału [a, b] w każdej iteracji funkcji</a:t>
            </a:r>
            <a:r>
              <a:rPr lang="pl-PL" baseline="0"/>
              <a:t> celu</a:t>
            </a:r>
            <a:r>
              <a:rPr lang="pl-PL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Fibonacci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Wykres!$A$3:$A$43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Wykres!$B$3:$B$43</c:f>
              <c:numCache>
                <c:formatCode>0.00000000000</c:formatCode>
                <c:ptCount val="41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123.607</c:v>
                </c:pt>
                <c:pt idx="4">
                  <c:v>76.393199999999993</c:v>
                </c:pt>
                <c:pt idx="5">
                  <c:v>47.2136</c:v>
                </c:pt>
                <c:pt idx="6">
                  <c:v>29.179600000000001</c:v>
                </c:pt>
                <c:pt idx="7">
                  <c:v>18.033999999999999</c:v>
                </c:pt>
                <c:pt idx="8">
                  <c:v>11.1456</c:v>
                </c:pt>
                <c:pt idx="9">
                  <c:v>6.8883700000000001</c:v>
                </c:pt>
                <c:pt idx="10">
                  <c:v>4.25725</c:v>
                </c:pt>
                <c:pt idx="11">
                  <c:v>2.6311200000000001</c:v>
                </c:pt>
                <c:pt idx="12">
                  <c:v>1.62612</c:v>
                </c:pt>
                <c:pt idx="13">
                  <c:v>1.0049999999999999</c:v>
                </c:pt>
                <c:pt idx="14">
                  <c:v>0.62112400000000001</c:v>
                </c:pt>
                <c:pt idx="15">
                  <c:v>0.383876</c:v>
                </c:pt>
                <c:pt idx="16">
                  <c:v>0.23724799999999999</c:v>
                </c:pt>
                <c:pt idx="17">
                  <c:v>0.14662700000000001</c:v>
                </c:pt>
                <c:pt idx="18">
                  <c:v>9.0620800000000001E-2</c:v>
                </c:pt>
                <c:pt idx="19">
                  <c:v>5.60067E-2</c:v>
                </c:pt>
                <c:pt idx="20">
                  <c:v>3.4614100000000002E-2</c:v>
                </c:pt>
                <c:pt idx="21">
                  <c:v>2.1392700000000001E-2</c:v>
                </c:pt>
                <c:pt idx="22">
                  <c:v>1.3221399999999999E-2</c:v>
                </c:pt>
                <c:pt idx="23">
                  <c:v>8.1712699999999996E-3</c:v>
                </c:pt>
                <c:pt idx="24">
                  <c:v>5.05012E-3</c:v>
                </c:pt>
                <c:pt idx="25">
                  <c:v>3.1211500000000001E-3</c:v>
                </c:pt>
                <c:pt idx="26">
                  <c:v>1.9289800000000001E-3</c:v>
                </c:pt>
                <c:pt idx="27">
                  <c:v>1.19217E-3</c:v>
                </c:pt>
                <c:pt idx="28">
                  <c:v>7.3680299999999996E-4</c:v>
                </c:pt>
                <c:pt idx="29">
                  <c:v>4.5537000000000003E-4</c:v>
                </c:pt>
                <c:pt idx="30">
                  <c:v>2.8143299999999999E-4</c:v>
                </c:pt>
                <c:pt idx="31">
                  <c:v>1.73936E-4</c:v>
                </c:pt>
                <c:pt idx="32">
                  <c:v>1.07497E-4</c:v>
                </c:pt>
                <c:pt idx="33">
                  <c:v>6.6439200000000006E-5</c:v>
                </c:pt>
                <c:pt idx="34">
                  <c:v>4.1057899999999999E-5</c:v>
                </c:pt>
                <c:pt idx="35">
                  <c:v>2.53813E-5</c:v>
                </c:pt>
                <c:pt idx="36">
                  <c:v>1.5676699999999998E-5</c:v>
                </c:pt>
                <c:pt idx="37">
                  <c:v>9.7046000000000002E-6</c:v>
                </c:pt>
                <c:pt idx="38">
                  <c:v>5.9720599999999997E-6</c:v>
                </c:pt>
                <c:pt idx="39">
                  <c:v>3.7325400000000001E-6</c:v>
                </c:pt>
                <c:pt idx="40">
                  <c:v>2.23952E-6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5-458D-9193-D9F6FD1CA005}"/>
            </c:ext>
          </c:extLst>
        </c:ser>
        <c:ser>
          <c:idx val="1"/>
          <c:order val="1"/>
          <c:tx>
            <c:v>Lagrange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Wykres!$A$3:$A$43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</c:numCache>
            </c:numRef>
          </c:cat>
          <c:val>
            <c:numRef>
              <c:f>Wykres!$C$3:$C$43</c:f>
              <c:numCache>
                <c:formatCode>General</c:formatCode>
                <c:ptCount val="41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5-458D-9193-D9F6FD1C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503983"/>
        <c:axId val="2051509263"/>
      </c:lineChart>
      <c:catAx>
        <c:axId val="205150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1509263"/>
        <c:crosses val="autoZero"/>
        <c:auto val="1"/>
        <c:lblAlgn val="ctr"/>
        <c:lblOffset val="100"/>
        <c:noMultiLvlLbl val="0"/>
      </c:catAx>
      <c:valAx>
        <c:axId val="205150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150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223836</xdr:rowOff>
    </xdr:from>
    <xdr:to>
      <xdr:col>22</xdr:col>
      <xdr:colOff>323850</xdr:colOff>
      <xdr:row>34</xdr:row>
      <xdr:rowOff>57149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E175275-3505-541D-2A8F-61485647D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opLeftCell="A64" workbookViewId="0">
      <selection activeCell="L89" sqref="L89"/>
    </sheetView>
  </sheetViews>
  <sheetFormatPr defaultRowHeight="15" x14ac:dyDescent="0.25"/>
  <cols>
    <col min="1" max="1" width="15.7109375" customWidth="1"/>
    <col min="2" max="2" width="5.7109375" customWidth="1"/>
    <col min="3" max="5" width="17.7109375" customWidth="1"/>
    <col min="6" max="6" width="17.7109375" style="86" customWidth="1"/>
    <col min="7" max="8" width="17.7109375" customWidth="1"/>
    <col min="9" max="10" width="17.7109375" style="86" customWidth="1"/>
    <col min="11" max="12" width="17.7109375" customWidth="1"/>
    <col min="13" max="14" width="17.7109375" style="86" customWidth="1"/>
  </cols>
  <sheetData>
    <row r="1" spans="1:14" ht="30" customHeight="1" x14ac:dyDescent="0.25">
      <c r="A1" s="53" t="s">
        <v>6</v>
      </c>
      <c r="B1" s="54"/>
      <c r="C1" s="54"/>
      <c r="D1" s="54"/>
      <c r="E1" s="54"/>
      <c r="F1" s="55"/>
      <c r="G1" s="53" t="s">
        <v>8</v>
      </c>
      <c r="H1" s="54"/>
      <c r="I1" s="55"/>
      <c r="J1" s="61"/>
      <c r="K1" s="49" t="s">
        <v>9</v>
      </c>
      <c r="L1" s="50"/>
      <c r="M1" s="51"/>
      <c r="N1" s="52"/>
    </row>
    <row r="2" spans="1:14" ht="30" customHeight="1" thickBot="1" x14ac:dyDescent="0.3">
      <c r="A2" s="6" t="s">
        <v>0</v>
      </c>
      <c r="B2" s="7" t="s">
        <v>1</v>
      </c>
      <c r="C2" s="7" t="s">
        <v>2</v>
      </c>
      <c r="D2" s="8" t="s">
        <v>4</v>
      </c>
      <c r="E2" s="8" t="s">
        <v>5</v>
      </c>
      <c r="F2" s="11" t="s">
        <v>3</v>
      </c>
      <c r="G2" s="13" t="s">
        <v>10</v>
      </c>
      <c r="H2" s="7" t="s">
        <v>11</v>
      </c>
      <c r="I2" s="11" t="s">
        <v>3</v>
      </c>
      <c r="J2" s="9" t="s">
        <v>20</v>
      </c>
      <c r="K2" s="13" t="s">
        <v>10</v>
      </c>
      <c r="L2" s="7" t="s">
        <v>11</v>
      </c>
      <c r="M2" s="11" t="s">
        <v>3</v>
      </c>
      <c r="N2" s="9" t="s">
        <v>20</v>
      </c>
    </row>
    <row r="3" spans="1:14" ht="15.75" thickBot="1" x14ac:dyDescent="0.3">
      <c r="A3" s="56"/>
      <c r="B3" s="15">
        <v>1</v>
      </c>
      <c r="C3" s="102">
        <v>-60.73</v>
      </c>
      <c r="D3" s="102">
        <v>-5.9663000000000004</v>
      </c>
      <c r="E3" s="102">
        <v>5.5340800000000003</v>
      </c>
      <c r="F3" s="87">
        <v>46</v>
      </c>
      <c r="G3" s="107">
        <v>2.9356900000000003E-7</v>
      </c>
      <c r="H3" s="102">
        <v>-5.7257300000000003E-18</v>
      </c>
      <c r="I3" s="80">
        <v>35</v>
      </c>
      <c r="J3" s="80">
        <f>IF(G3&lt;60,0,1)</f>
        <v>0</v>
      </c>
      <c r="K3" s="101">
        <v>-0.216112</v>
      </c>
      <c r="L3" s="102">
        <v>9.3409100000000005E-7</v>
      </c>
      <c r="M3" s="80">
        <v>4</v>
      </c>
      <c r="N3" s="80">
        <f>IF(K3&lt;60,0,1)</f>
        <v>0</v>
      </c>
    </row>
    <row r="4" spans="1:14" ht="15.75" thickBot="1" x14ac:dyDescent="0.3">
      <c r="A4" s="57"/>
      <c r="B4" s="1">
        <v>2</v>
      </c>
      <c r="C4" s="98">
        <v>-52.06</v>
      </c>
      <c r="D4" s="98">
        <v>-6.8007400000000002</v>
      </c>
      <c r="E4" s="98">
        <v>2.7037</v>
      </c>
      <c r="F4" s="88">
        <v>44</v>
      </c>
      <c r="G4" s="108">
        <v>2.1500000000000001E-7</v>
      </c>
      <c r="H4" s="98">
        <v>-6.5248900000000001E-18</v>
      </c>
      <c r="I4" s="81">
        <v>35</v>
      </c>
      <c r="J4" s="80">
        <f t="shared" ref="J4:J67" si="0">IF(G4&lt;60,0,1)</f>
        <v>0</v>
      </c>
      <c r="K4" s="97">
        <v>-2.0485199999999999</v>
      </c>
      <c r="L4" s="98">
        <v>8.3928899999999995E-5</v>
      </c>
      <c r="M4" s="81">
        <v>4</v>
      </c>
      <c r="N4" s="80">
        <f t="shared" ref="N4:N67" si="1">IF(K4&lt;60,0,1)</f>
        <v>0</v>
      </c>
    </row>
    <row r="5" spans="1:14" ht="15.75" thickBot="1" x14ac:dyDescent="0.3">
      <c r="A5" s="57"/>
      <c r="B5" s="1">
        <v>3</v>
      </c>
      <c r="C5" s="98">
        <v>-75.14</v>
      </c>
      <c r="D5" s="98">
        <v>-8.8759200000000007</v>
      </c>
      <c r="E5" s="98">
        <v>5.0395300000000001</v>
      </c>
      <c r="F5" s="88">
        <v>48</v>
      </c>
      <c r="G5" s="108">
        <v>2.5288700000000001E-7</v>
      </c>
      <c r="H5" s="98">
        <v>-6.1703499999999997E-18</v>
      </c>
      <c r="I5" s="81">
        <v>35</v>
      </c>
      <c r="J5" s="80">
        <f t="shared" si="0"/>
        <v>0</v>
      </c>
      <c r="K5" s="97">
        <v>-1.9181999999999999</v>
      </c>
      <c r="L5" s="98">
        <v>7.3589499999999997E-5</v>
      </c>
      <c r="M5" s="81">
        <v>4</v>
      </c>
      <c r="N5" s="80">
        <f t="shared" si="1"/>
        <v>0</v>
      </c>
    </row>
    <row r="6" spans="1:14" ht="15.75" thickBot="1" x14ac:dyDescent="0.3">
      <c r="A6" s="57"/>
      <c r="B6" s="1">
        <v>4</v>
      </c>
      <c r="C6" s="98">
        <v>47.57</v>
      </c>
      <c r="D6" s="98">
        <v>61.991</v>
      </c>
      <c r="E6" s="98">
        <v>65.019400000000005</v>
      </c>
      <c r="F6" s="88">
        <v>32</v>
      </c>
      <c r="G6" s="108">
        <v>62.726999999999997</v>
      </c>
      <c r="H6" s="98">
        <v>-0.92119799999999996</v>
      </c>
      <c r="I6" s="81">
        <v>32</v>
      </c>
      <c r="J6" s="80">
        <f t="shared" si="0"/>
        <v>1</v>
      </c>
      <c r="K6" s="97">
        <v>62.725700000000003</v>
      </c>
      <c r="L6" s="98">
        <v>-0.92119799999999996</v>
      </c>
      <c r="M6" s="81">
        <v>5</v>
      </c>
      <c r="N6" s="80">
        <f t="shared" si="1"/>
        <v>1</v>
      </c>
    </row>
    <row r="7" spans="1:14" ht="15.75" thickBot="1" x14ac:dyDescent="0.3">
      <c r="A7" s="57"/>
      <c r="B7" s="1">
        <v>5</v>
      </c>
      <c r="C7" s="98">
        <v>-19.03</v>
      </c>
      <c r="D7" s="98">
        <v>-1.5806</v>
      </c>
      <c r="E7" s="98">
        <v>2.08378</v>
      </c>
      <c r="F7" s="88">
        <v>34</v>
      </c>
      <c r="G7" s="108">
        <v>-1.9796300000000001E-7</v>
      </c>
      <c r="H7" s="98">
        <v>-6.6656000000000002E-18</v>
      </c>
      <c r="I7" s="81">
        <v>33</v>
      </c>
      <c r="J7" s="80">
        <f t="shared" si="0"/>
        <v>0</v>
      </c>
      <c r="K7" s="97">
        <v>2.5051799999999998E-13</v>
      </c>
      <c r="L7" s="98">
        <v>-7.4493900000000001E-18</v>
      </c>
      <c r="M7" s="81">
        <v>5</v>
      </c>
      <c r="N7" s="80">
        <f t="shared" si="1"/>
        <v>0</v>
      </c>
    </row>
    <row r="8" spans="1:14" ht="15.75" thickBot="1" x14ac:dyDescent="0.3">
      <c r="A8" s="57"/>
      <c r="B8" s="1">
        <v>6</v>
      </c>
      <c r="C8" s="98">
        <v>20.36</v>
      </c>
      <c r="D8" s="98">
        <v>-2.8651499999999999</v>
      </c>
      <c r="E8" s="98">
        <v>1.1656599999999999</v>
      </c>
      <c r="F8" s="88">
        <v>36</v>
      </c>
      <c r="G8" s="108">
        <v>-3.5034E-7</v>
      </c>
      <c r="H8" s="98">
        <v>-4.9946199999999999E-18</v>
      </c>
      <c r="I8" s="81">
        <v>33</v>
      </c>
      <c r="J8" s="80">
        <f t="shared" si="0"/>
        <v>0</v>
      </c>
      <c r="K8" s="97">
        <v>-0.84974799999999995</v>
      </c>
      <c r="L8" s="98">
        <v>1.44414E-5</v>
      </c>
      <c r="M8" s="81">
        <v>4</v>
      </c>
      <c r="N8" s="80">
        <f t="shared" si="1"/>
        <v>0</v>
      </c>
    </row>
    <row r="9" spans="1:14" ht="15.75" thickBot="1" x14ac:dyDescent="0.3">
      <c r="A9" s="57"/>
      <c r="B9" s="1">
        <v>7</v>
      </c>
      <c r="C9" s="98">
        <v>-46.77</v>
      </c>
      <c r="D9" s="98">
        <v>-5.6252199999999997</v>
      </c>
      <c r="E9" s="98">
        <v>3.01518</v>
      </c>
      <c r="F9" s="88">
        <v>43</v>
      </c>
      <c r="G9" s="108">
        <v>-6.7114599999999994E-8</v>
      </c>
      <c r="H9" s="98">
        <v>-7.3593000000000006E-18</v>
      </c>
      <c r="I9" s="81">
        <v>34</v>
      </c>
      <c r="J9" s="80">
        <f t="shared" si="0"/>
        <v>0</v>
      </c>
      <c r="K9" s="97">
        <v>-1.3050200000000001</v>
      </c>
      <c r="L9" s="98">
        <v>3.4061599999999999E-5</v>
      </c>
      <c r="M9" s="81">
        <v>4</v>
      </c>
      <c r="N9" s="80">
        <f t="shared" si="1"/>
        <v>0</v>
      </c>
    </row>
    <row r="10" spans="1:14" ht="15.75" thickBot="1" x14ac:dyDescent="0.3">
      <c r="A10" s="57"/>
      <c r="B10" s="1">
        <v>8</v>
      </c>
      <c r="C10" s="98">
        <v>-54.69</v>
      </c>
      <c r="D10" s="98">
        <v>-4.90482</v>
      </c>
      <c r="E10" s="98">
        <v>5.5500699999999998</v>
      </c>
      <c r="F10" s="88">
        <v>45</v>
      </c>
      <c r="G10" s="108">
        <v>-3.3346799999999998E-7</v>
      </c>
      <c r="H10" s="98">
        <v>-5.22537E-18</v>
      </c>
      <c r="I10" s="81">
        <v>35</v>
      </c>
      <c r="J10" s="80">
        <f t="shared" si="0"/>
        <v>0</v>
      </c>
      <c r="K10" s="97">
        <v>2.7164899999999999E-13</v>
      </c>
      <c r="L10" s="98">
        <v>-7.4493900000000001E-18</v>
      </c>
      <c r="M10" s="81">
        <v>5</v>
      </c>
      <c r="N10" s="80">
        <f t="shared" si="1"/>
        <v>0</v>
      </c>
    </row>
    <row r="11" spans="1:14" ht="15.75" thickBot="1" x14ac:dyDescent="0.3">
      <c r="A11" s="57"/>
      <c r="B11" s="1">
        <v>9</v>
      </c>
      <c r="C11" s="98">
        <v>-15.36</v>
      </c>
      <c r="D11" s="98">
        <v>-0.93900600000000001</v>
      </c>
      <c r="E11" s="98">
        <v>2.0893999999999999</v>
      </c>
      <c r="F11" s="88">
        <v>32</v>
      </c>
      <c r="G11" s="108">
        <v>3.3967399999999997E-7</v>
      </c>
      <c r="H11" s="98">
        <v>-5.1418200000000001E-18</v>
      </c>
      <c r="I11" s="81">
        <v>32</v>
      </c>
      <c r="J11" s="80">
        <f t="shared" si="0"/>
        <v>0</v>
      </c>
      <c r="K11" s="97">
        <v>2.6312199999999999E-13</v>
      </c>
      <c r="L11" s="98">
        <v>-7.4493900000000001E-18</v>
      </c>
      <c r="M11" s="81">
        <v>5</v>
      </c>
      <c r="N11" s="80">
        <f t="shared" si="1"/>
        <v>0</v>
      </c>
    </row>
    <row r="12" spans="1:14" ht="15.75" thickBot="1" x14ac:dyDescent="0.3">
      <c r="A12" s="57"/>
      <c r="B12" s="1">
        <v>10</v>
      </c>
      <c r="C12" s="98">
        <v>-13.11</v>
      </c>
      <c r="D12" s="98">
        <v>-1.1918200000000001</v>
      </c>
      <c r="E12" s="98">
        <v>1.3109900000000001</v>
      </c>
      <c r="F12" s="88">
        <v>30</v>
      </c>
      <c r="G12" s="108">
        <v>2.4429199999999997E-7</v>
      </c>
      <c r="H12" s="98">
        <v>-6.2558199999999997E-18</v>
      </c>
      <c r="I12" s="81">
        <v>32</v>
      </c>
      <c r="J12" s="80">
        <f t="shared" si="0"/>
        <v>0</v>
      </c>
      <c r="K12" s="97">
        <v>2.36961E-13</v>
      </c>
      <c r="L12" s="98">
        <v>-7.4493900000000001E-18</v>
      </c>
      <c r="M12" s="81">
        <v>5</v>
      </c>
      <c r="N12" s="80">
        <f t="shared" si="1"/>
        <v>0</v>
      </c>
    </row>
    <row r="13" spans="1:14" ht="15.75" thickBot="1" x14ac:dyDescent="0.3">
      <c r="A13" s="57"/>
      <c r="B13" s="1">
        <v>11</v>
      </c>
      <c r="C13" s="98">
        <v>-23.62</v>
      </c>
      <c r="D13" s="98">
        <v>-2.5062199999999999</v>
      </c>
      <c r="E13" s="98">
        <v>1.92767</v>
      </c>
      <c r="F13" s="88">
        <v>36</v>
      </c>
      <c r="G13" s="108">
        <v>-6.1406500000000001E-8</v>
      </c>
      <c r="H13" s="98">
        <v>-7.3739700000000002E-18</v>
      </c>
      <c r="I13" s="81">
        <v>33</v>
      </c>
      <c r="J13" s="80">
        <f t="shared" si="0"/>
        <v>0</v>
      </c>
      <c r="K13" s="97">
        <v>-0.28927700000000001</v>
      </c>
      <c r="L13" s="98">
        <v>1.6736200000000001E-6</v>
      </c>
      <c r="M13" s="81">
        <v>4</v>
      </c>
      <c r="N13" s="80">
        <f t="shared" si="1"/>
        <v>0</v>
      </c>
    </row>
    <row r="14" spans="1:14" ht="15.75" thickBot="1" x14ac:dyDescent="0.3">
      <c r="A14" s="57"/>
      <c r="B14" s="1">
        <v>12</v>
      </c>
      <c r="C14" s="98">
        <v>-70.89</v>
      </c>
      <c r="D14" s="98">
        <v>-4.6259199999999998</v>
      </c>
      <c r="E14" s="98">
        <v>9.2895299999999992</v>
      </c>
      <c r="F14" s="88">
        <v>48</v>
      </c>
      <c r="G14" s="108">
        <v>-4.25341E-7</v>
      </c>
      <c r="H14" s="98">
        <v>-3.8310800000000001E-18</v>
      </c>
      <c r="I14" s="81">
        <v>35</v>
      </c>
      <c r="J14" s="80">
        <f t="shared" si="0"/>
        <v>0</v>
      </c>
      <c r="K14" s="97">
        <v>8.7541099999999997E-13</v>
      </c>
      <c r="L14" s="98">
        <v>-7.4493900000000001E-18</v>
      </c>
      <c r="M14" s="81">
        <v>5</v>
      </c>
      <c r="N14" s="80">
        <f t="shared" si="1"/>
        <v>0</v>
      </c>
    </row>
    <row r="15" spans="1:14" ht="15.75" thickBot="1" x14ac:dyDescent="0.3">
      <c r="A15" s="57"/>
      <c r="B15" s="1">
        <v>13</v>
      </c>
      <c r="C15" s="98">
        <v>86.03</v>
      </c>
      <c r="D15" s="98">
        <v>60.482300000000002</v>
      </c>
      <c r="E15" s="98">
        <v>64.916200000000003</v>
      </c>
      <c r="F15" s="88">
        <v>37</v>
      </c>
      <c r="G15" s="108">
        <v>62.726999999999997</v>
      </c>
      <c r="H15" s="98">
        <v>-0.92119799999999996</v>
      </c>
      <c r="I15" s="81">
        <v>33</v>
      </c>
      <c r="J15" s="80">
        <f t="shared" si="0"/>
        <v>1</v>
      </c>
      <c r="K15" s="97">
        <v>62.699300000000001</v>
      </c>
      <c r="L15" s="98">
        <v>-0.92118699999999998</v>
      </c>
      <c r="M15" s="81">
        <v>4</v>
      </c>
      <c r="N15" s="80">
        <f t="shared" si="1"/>
        <v>1</v>
      </c>
    </row>
    <row r="16" spans="1:14" ht="15.75" thickBot="1" x14ac:dyDescent="0.3">
      <c r="A16" s="57"/>
      <c r="B16" s="1">
        <v>14</v>
      </c>
      <c r="C16" s="98">
        <v>27.03</v>
      </c>
      <c r="D16" s="98">
        <v>-3.8826800000000001</v>
      </c>
      <c r="E16" s="98">
        <v>1.4823299999999999</v>
      </c>
      <c r="F16" s="88">
        <v>39</v>
      </c>
      <c r="G16" s="108">
        <v>-3.5017899999999998E-8</v>
      </c>
      <c r="H16" s="98">
        <v>-7.4248600000000007E-18</v>
      </c>
      <c r="I16" s="81">
        <v>33</v>
      </c>
      <c r="J16" s="80">
        <f t="shared" si="0"/>
        <v>0</v>
      </c>
      <c r="K16" s="97">
        <v>-1.20018</v>
      </c>
      <c r="L16" s="98">
        <v>2.88084E-5</v>
      </c>
      <c r="M16" s="81">
        <v>4</v>
      </c>
      <c r="N16" s="80">
        <f t="shared" si="1"/>
        <v>0</v>
      </c>
    </row>
    <row r="17" spans="1:14" ht="15.75" thickBot="1" x14ac:dyDescent="0.3">
      <c r="A17" s="57"/>
      <c r="B17" s="1">
        <v>15</v>
      </c>
      <c r="C17" s="98">
        <v>93.42</v>
      </c>
      <c r="D17" s="98">
        <v>59.4161</v>
      </c>
      <c r="E17" s="98">
        <v>65.317599999999999</v>
      </c>
      <c r="F17" s="88">
        <v>40</v>
      </c>
      <c r="G17" s="108">
        <v>62.726999999999997</v>
      </c>
      <c r="H17" s="98">
        <v>-0.92119799999999996</v>
      </c>
      <c r="I17" s="81">
        <v>34</v>
      </c>
      <c r="J17" s="80">
        <f t="shared" si="0"/>
        <v>1</v>
      </c>
      <c r="K17" s="97">
        <v>62.366799999999998</v>
      </c>
      <c r="L17" s="98">
        <v>-0.91925400000000002</v>
      </c>
      <c r="M17" s="81">
        <v>4</v>
      </c>
      <c r="N17" s="80">
        <f t="shared" si="1"/>
        <v>1</v>
      </c>
    </row>
    <row r="18" spans="1:14" ht="15.75" thickBot="1" x14ac:dyDescent="0.3">
      <c r="A18" s="57"/>
      <c r="B18" s="1">
        <v>16</v>
      </c>
      <c r="C18" s="98">
        <v>-30.42</v>
      </c>
      <c r="D18" s="98">
        <v>-2.3175599999999998</v>
      </c>
      <c r="E18" s="98">
        <v>3.5839500000000002</v>
      </c>
      <c r="F18" s="88">
        <v>39</v>
      </c>
      <c r="G18" s="108">
        <v>-1.6300199999999999E-7</v>
      </c>
      <c r="H18" s="98">
        <v>-6.91799E-18</v>
      </c>
      <c r="I18" s="81">
        <v>34</v>
      </c>
      <c r="J18" s="80">
        <f t="shared" si="0"/>
        <v>0</v>
      </c>
      <c r="K18" s="97">
        <v>2.9393399999999998E-13</v>
      </c>
      <c r="L18" s="98">
        <v>-7.4493900000000001E-18</v>
      </c>
      <c r="M18" s="81">
        <v>5</v>
      </c>
      <c r="N18" s="80">
        <f t="shared" si="1"/>
        <v>0</v>
      </c>
    </row>
    <row r="19" spans="1:14" ht="15.75" thickBot="1" x14ac:dyDescent="0.3">
      <c r="A19" s="57"/>
      <c r="B19" s="1">
        <v>17</v>
      </c>
      <c r="C19" s="98">
        <v>65.349999999999994</v>
      </c>
      <c r="D19" s="98">
        <v>62.496899999999997</v>
      </c>
      <c r="E19" s="98">
        <v>62.992100000000001</v>
      </c>
      <c r="F19" s="88">
        <v>14</v>
      </c>
      <c r="G19" s="108">
        <v>62.726999999999997</v>
      </c>
      <c r="H19" s="98">
        <v>-0.92119799999999996</v>
      </c>
      <c r="I19" s="81">
        <v>28</v>
      </c>
      <c r="J19" s="80">
        <f t="shared" si="0"/>
        <v>1</v>
      </c>
      <c r="K19" s="97">
        <v>62.726900000000001</v>
      </c>
      <c r="L19" s="98">
        <v>-0.92119799999999996</v>
      </c>
      <c r="M19" s="81">
        <v>5</v>
      </c>
      <c r="N19" s="80">
        <f t="shared" si="1"/>
        <v>1</v>
      </c>
    </row>
    <row r="20" spans="1:14" ht="15.75" thickBot="1" x14ac:dyDescent="0.3">
      <c r="A20" s="57"/>
      <c r="B20" s="1">
        <v>18</v>
      </c>
      <c r="C20" s="98">
        <v>92.45</v>
      </c>
      <c r="D20" s="98">
        <v>58.446100000000001</v>
      </c>
      <c r="E20" s="98">
        <v>64.3476</v>
      </c>
      <c r="F20" s="88">
        <v>40</v>
      </c>
      <c r="G20" s="108">
        <v>62.726999999999997</v>
      </c>
      <c r="H20" s="98">
        <v>-0.92119799999999996</v>
      </c>
      <c r="I20" s="81">
        <v>34</v>
      </c>
      <c r="J20" s="80">
        <f t="shared" si="0"/>
        <v>1</v>
      </c>
      <c r="K20" s="97">
        <v>61.396799999999999</v>
      </c>
      <c r="L20" s="98">
        <v>-0.89503299999999997</v>
      </c>
      <c r="M20" s="81">
        <v>4</v>
      </c>
      <c r="N20" s="80">
        <f t="shared" si="1"/>
        <v>1</v>
      </c>
    </row>
    <row r="21" spans="1:14" ht="15.75" thickBot="1" x14ac:dyDescent="0.3">
      <c r="A21" s="57"/>
      <c r="B21" s="1">
        <v>19</v>
      </c>
      <c r="C21" s="98">
        <v>-85.21</v>
      </c>
      <c r="D21" s="98">
        <v>-5.0304700000000002</v>
      </c>
      <c r="E21" s="98">
        <v>11.8072</v>
      </c>
      <c r="F21" s="88">
        <v>50</v>
      </c>
      <c r="G21" s="108">
        <v>-2.1741299999999999E-7</v>
      </c>
      <c r="H21" s="98">
        <v>-6.5040199999999997E-18</v>
      </c>
      <c r="I21" s="81">
        <v>36</v>
      </c>
      <c r="J21" s="80">
        <f t="shared" si="0"/>
        <v>0</v>
      </c>
      <c r="K21" s="97">
        <v>1.9290800000000001E-12</v>
      </c>
      <c r="L21" s="98">
        <v>-7.4493900000000001E-18</v>
      </c>
      <c r="M21" s="81">
        <v>5</v>
      </c>
      <c r="N21" s="80">
        <f t="shared" si="1"/>
        <v>0</v>
      </c>
    </row>
    <row r="22" spans="1:14" ht="15.75" thickBot="1" x14ac:dyDescent="0.3">
      <c r="A22" s="57"/>
      <c r="B22" s="1">
        <v>20</v>
      </c>
      <c r="C22" s="98">
        <v>36.869999999999997</v>
      </c>
      <c r="D22" s="98">
        <v>-4.2747799999999998</v>
      </c>
      <c r="E22" s="98">
        <v>2.86605</v>
      </c>
      <c r="F22" s="88">
        <v>42</v>
      </c>
      <c r="G22" s="108">
        <v>-3.4935899999999997E-8</v>
      </c>
      <c r="H22" s="98">
        <v>-7.4249800000000007E-18</v>
      </c>
      <c r="I22" s="81">
        <v>34</v>
      </c>
      <c r="J22" s="80">
        <f t="shared" si="0"/>
        <v>0</v>
      </c>
      <c r="K22" s="97">
        <v>-0.70436299999999996</v>
      </c>
      <c r="L22" s="98">
        <v>9.9225500000000004E-6</v>
      </c>
      <c r="M22" s="81">
        <v>4</v>
      </c>
      <c r="N22" s="80">
        <f t="shared" si="1"/>
        <v>0</v>
      </c>
    </row>
    <row r="23" spans="1:14" ht="15.75" thickBot="1" x14ac:dyDescent="0.3">
      <c r="A23" s="57"/>
      <c r="B23" s="1">
        <v>21</v>
      </c>
      <c r="C23" s="98">
        <v>22.54</v>
      </c>
      <c r="D23" s="98">
        <v>-3.0076700000000001</v>
      </c>
      <c r="E23" s="98">
        <v>1.42622</v>
      </c>
      <c r="F23" s="88">
        <v>37</v>
      </c>
      <c r="G23" s="108">
        <v>-1.9560899999999999E-7</v>
      </c>
      <c r="H23" s="98">
        <v>-6.6841299999999997E-18</v>
      </c>
      <c r="I23" s="81">
        <v>33</v>
      </c>
      <c r="J23" s="80">
        <f t="shared" si="0"/>
        <v>0</v>
      </c>
      <c r="K23" s="97">
        <v>-0.79072299999999995</v>
      </c>
      <c r="L23" s="98">
        <v>1.2504899999999999E-5</v>
      </c>
      <c r="M23" s="81">
        <v>4</v>
      </c>
      <c r="N23" s="80">
        <f t="shared" si="1"/>
        <v>0</v>
      </c>
    </row>
    <row r="24" spans="1:14" ht="15.75" thickBot="1" x14ac:dyDescent="0.3">
      <c r="A24" s="57"/>
      <c r="B24" s="1">
        <v>22</v>
      </c>
      <c r="C24" s="98">
        <v>16.010000000000002</v>
      </c>
      <c r="D24" s="98">
        <v>-1.4394</v>
      </c>
      <c r="E24" s="98">
        <v>1.58901</v>
      </c>
      <c r="F24" s="88">
        <v>33</v>
      </c>
      <c r="G24" s="108">
        <v>-4.2703599999999999E-7</v>
      </c>
      <c r="H24" s="98">
        <v>-3.8021899999999999E-18</v>
      </c>
      <c r="I24" s="81">
        <v>32</v>
      </c>
      <c r="J24" s="80">
        <f t="shared" si="0"/>
        <v>0</v>
      </c>
      <c r="K24" s="97">
        <v>2.3828700000000002E-13</v>
      </c>
      <c r="L24" s="98">
        <v>-7.4493900000000001E-18</v>
      </c>
      <c r="M24" s="81">
        <v>5</v>
      </c>
      <c r="N24" s="80">
        <f t="shared" si="1"/>
        <v>0</v>
      </c>
    </row>
    <row r="25" spans="1:14" ht="15.75" thickBot="1" x14ac:dyDescent="0.3">
      <c r="A25" s="57"/>
      <c r="B25" s="1">
        <v>23</v>
      </c>
      <c r="C25" s="98">
        <v>-49.27</v>
      </c>
      <c r="D25" s="98">
        <v>-4.0107400000000002</v>
      </c>
      <c r="E25" s="98">
        <v>5.4936999999999996</v>
      </c>
      <c r="F25" s="88">
        <v>44</v>
      </c>
      <c r="G25" s="108">
        <v>-4.9675300000000003E-8</v>
      </c>
      <c r="H25" s="98">
        <v>-7.4000299999999999E-18</v>
      </c>
      <c r="I25" s="81">
        <v>35</v>
      </c>
      <c r="J25" s="80">
        <f t="shared" si="0"/>
        <v>0</v>
      </c>
      <c r="K25" s="97">
        <v>3.28785E-13</v>
      </c>
      <c r="L25" s="98">
        <v>-7.4493900000000001E-18</v>
      </c>
      <c r="M25" s="81">
        <v>5</v>
      </c>
      <c r="N25" s="80">
        <f t="shared" si="1"/>
        <v>0</v>
      </c>
    </row>
    <row r="26" spans="1:14" ht="15.75" thickBot="1" x14ac:dyDescent="0.3">
      <c r="A26" s="57"/>
      <c r="B26" s="1">
        <v>24</v>
      </c>
      <c r="C26" s="98">
        <v>-2.46</v>
      </c>
      <c r="D26" s="98">
        <v>-0.316411</v>
      </c>
      <c r="E26" s="98">
        <v>0.133742</v>
      </c>
      <c r="F26" s="88">
        <v>12</v>
      </c>
      <c r="G26" s="108">
        <v>-4.3394599999999999E-7</v>
      </c>
      <c r="H26" s="98">
        <v>-3.6831999999999998E-18</v>
      </c>
      <c r="I26" s="81">
        <v>28</v>
      </c>
      <c r="J26" s="80">
        <f t="shared" si="0"/>
        <v>0</v>
      </c>
      <c r="K26" s="97">
        <v>-9.1334399999999996E-2</v>
      </c>
      <c r="L26" s="98">
        <v>1.66839E-7</v>
      </c>
      <c r="M26" s="81">
        <v>4</v>
      </c>
      <c r="N26" s="80">
        <f t="shared" si="1"/>
        <v>0</v>
      </c>
    </row>
    <row r="27" spans="1:14" ht="15.75" thickBot="1" x14ac:dyDescent="0.3">
      <c r="A27" s="57"/>
      <c r="B27" s="1">
        <v>25</v>
      </c>
      <c r="C27" s="98">
        <v>2.2400000000000002</v>
      </c>
      <c r="D27" s="98">
        <v>-0.117948</v>
      </c>
      <c r="E27" s="98">
        <v>0.29128300000000001</v>
      </c>
      <c r="F27" s="88">
        <v>12</v>
      </c>
      <c r="G27" s="108">
        <v>-1.11435E-7</v>
      </c>
      <c r="H27" s="98">
        <v>-7.2010299999999997E-18</v>
      </c>
      <c r="I27" s="81">
        <v>28</v>
      </c>
      <c r="J27" s="80">
        <f t="shared" si="0"/>
        <v>0</v>
      </c>
      <c r="K27" s="97">
        <v>2.34502E-13</v>
      </c>
      <c r="L27" s="98">
        <v>-7.4493900000000001E-18</v>
      </c>
      <c r="M27" s="81">
        <v>5</v>
      </c>
      <c r="N27" s="80">
        <f t="shared" si="1"/>
        <v>0</v>
      </c>
    </row>
    <row r="28" spans="1:14" ht="15.75" thickBot="1" x14ac:dyDescent="0.3">
      <c r="A28" s="57"/>
      <c r="B28" s="1">
        <v>26</v>
      </c>
      <c r="C28" s="98">
        <v>-37.51</v>
      </c>
      <c r="D28" s="98">
        <v>-3.5060500000000001</v>
      </c>
      <c r="E28" s="98">
        <v>3.6347800000000001</v>
      </c>
      <c r="F28" s="88">
        <v>41</v>
      </c>
      <c r="G28" s="108">
        <v>2.9548699999999998E-7</v>
      </c>
      <c r="H28" s="98">
        <v>-5.7031399999999998E-18</v>
      </c>
      <c r="I28" s="81">
        <v>34</v>
      </c>
      <c r="J28" s="80">
        <f t="shared" si="0"/>
        <v>0</v>
      </c>
      <c r="K28" s="97">
        <v>2.3999700000000002E-13</v>
      </c>
      <c r="L28" s="98">
        <v>-7.4493900000000001E-18</v>
      </c>
      <c r="M28" s="81">
        <v>5</v>
      </c>
      <c r="N28" s="80">
        <f t="shared" si="1"/>
        <v>0</v>
      </c>
    </row>
    <row r="29" spans="1:14" ht="15.75" thickBot="1" x14ac:dyDescent="0.3">
      <c r="A29" s="57"/>
      <c r="B29" s="1">
        <v>27</v>
      </c>
      <c r="C29" s="98">
        <v>-51.39</v>
      </c>
      <c r="D29" s="98">
        <v>-6.1307400000000003</v>
      </c>
      <c r="E29" s="98">
        <v>3.3736999999999999</v>
      </c>
      <c r="F29" s="88">
        <v>44</v>
      </c>
      <c r="G29" s="108">
        <v>-1.5886699999999999E-7</v>
      </c>
      <c r="H29" s="98">
        <v>-6.9446100000000005E-18</v>
      </c>
      <c r="I29" s="81">
        <v>35</v>
      </c>
      <c r="J29" s="80">
        <f t="shared" si="0"/>
        <v>0</v>
      </c>
      <c r="K29" s="97">
        <v>-1.37852</v>
      </c>
      <c r="L29" s="98">
        <v>3.8006500000000003E-5</v>
      </c>
      <c r="M29" s="81">
        <v>4</v>
      </c>
      <c r="N29" s="80">
        <f t="shared" si="1"/>
        <v>0</v>
      </c>
    </row>
    <row r="30" spans="1:14" ht="15.75" thickBot="1" x14ac:dyDescent="0.3">
      <c r="A30" s="57"/>
      <c r="B30" s="1">
        <v>28</v>
      </c>
      <c r="C30" s="98">
        <v>5.16</v>
      </c>
      <c r="D30" s="98">
        <v>-0.39991700000000002</v>
      </c>
      <c r="E30" s="98">
        <v>0.56502699999999995</v>
      </c>
      <c r="F30" s="88">
        <v>21</v>
      </c>
      <c r="G30" s="108">
        <v>1.4504799999999999E-7</v>
      </c>
      <c r="H30" s="98">
        <v>-7.0286099999999995E-18</v>
      </c>
      <c r="I30" s="81">
        <v>30</v>
      </c>
      <c r="J30" s="80">
        <f t="shared" si="0"/>
        <v>0</v>
      </c>
      <c r="K30" s="97">
        <v>2.35677E-13</v>
      </c>
      <c r="L30" s="98">
        <v>-7.4493900000000001E-18</v>
      </c>
      <c r="M30" s="81">
        <v>5</v>
      </c>
      <c r="N30" s="80">
        <f t="shared" si="1"/>
        <v>0</v>
      </c>
    </row>
    <row r="31" spans="1:14" ht="15.75" thickBot="1" x14ac:dyDescent="0.3">
      <c r="A31" s="57"/>
      <c r="B31" s="1">
        <v>29</v>
      </c>
      <c r="C31" s="98">
        <v>-7.12</v>
      </c>
      <c r="D31" s="98">
        <v>-0.39250000000000002</v>
      </c>
      <c r="E31" s="98">
        <v>1.02027</v>
      </c>
      <c r="F31" s="88">
        <v>24</v>
      </c>
      <c r="G31" s="108">
        <v>-1.83296E-7</v>
      </c>
      <c r="H31" s="98">
        <v>-6.7774400000000004E-18</v>
      </c>
      <c r="I31" s="81">
        <v>31</v>
      </c>
      <c r="J31" s="80">
        <f t="shared" si="0"/>
        <v>0</v>
      </c>
      <c r="K31" s="97">
        <v>2.4730099999999999E-13</v>
      </c>
      <c r="L31" s="98">
        <v>-7.4493900000000001E-18</v>
      </c>
      <c r="M31" s="81">
        <v>5</v>
      </c>
      <c r="N31" s="80">
        <f t="shared" si="1"/>
        <v>0</v>
      </c>
    </row>
    <row r="32" spans="1:14" ht="15.75" thickBot="1" x14ac:dyDescent="0.3">
      <c r="A32" s="57"/>
      <c r="B32" s="1">
        <v>30</v>
      </c>
      <c r="C32" s="98">
        <v>-67.8</v>
      </c>
      <c r="D32" s="98">
        <v>-7.5599299999999996</v>
      </c>
      <c r="E32" s="98">
        <v>5.0904800000000003</v>
      </c>
      <c r="F32" s="88">
        <v>47</v>
      </c>
      <c r="G32" s="108">
        <v>-2.0820600000000001E-7</v>
      </c>
      <c r="H32" s="98">
        <v>-6.58239E-18</v>
      </c>
      <c r="I32" s="81">
        <v>35</v>
      </c>
      <c r="J32" s="80">
        <f t="shared" si="0"/>
        <v>0</v>
      </c>
      <c r="K32" s="97">
        <v>-1.23472</v>
      </c>
      <c r="L32" s="98">
        <v>3.04908E-5</v>
      </c>
      <c r="M32" s="81">
        <v>4</v>
      </c>
      <c r="N32" s="80">
        <f t="shared" si="1"/>
        <v>0</v>
      </c>
    </row>
    <row r="33" spans="1:14" ht="15.75" thickBot="1" x14ac:dyDescent="0.3">
      <c r="A33" s="57"/>
      <c r="B33" s="1">
        <v>31</v>
      </c>
      <c r="C33" s="98">
        <v>-97.73</v>
      </c>
      <c r="D33" s="98">
        <v>-9.5325100000000003</v>
      </c>
      <c r="E33" s="98">
        <v>8.9889600000000005</v>
      </c>
      <c r="F33" s="88">
        <v>51</v>
      </c>
      <c r="G33" s="108">
        <v>-3.1202400000000002E-7</v>
      </c>
      <c r="H33" s="98">
        <v>-5.5022099999999996E-18</v>
      </c>
      <c r="I33" s="81">
        <v>36</v>
      </c>
      <c r="J33" s="80">
        <f t="shared" si="0"/>
        <v>0</v>
      </c>
      <c r="K33" s="97">
        <v>-0.27177899999999999</v>
      </c>
      <c r="L33" s="98">
        <v>1.47727E-6</v>
      </c>
      <c r="M33" s="81">
        <v>4</v>
      </c>
      <c r="N33" s="80">
        <f t="shared" si="1"/>
        <v>0</v>
      </c>
    </row>
    <row r="34" spans="1:14" ht="15.75" thickBot="1" x14ac:dyDescent="0.3">
      <c r="A34" s="57"/>
      <c r="B34" s="1">
        <v>32</v>
      </c>
      <c r="C34" s="98">
        <v>7.04</v>
      </c>
      <c r="D34" s="98">
        <v>-0.36025000000000001</v>
      </c>
      <c r="E34" s="98">
        <v>0.924091</v>
      </c>
      <c r="F34" s="88">
        <v>24</v>
      </c>
      <c r="G34" s="108">
        <v>-3.8756600000000002E-7</v>
      </c>
      <c r="H34" s="98">
        <v>-4.44523E-18</v>
      </c>
      <c r="I34" s="81">
        <v>30</v>
      </c>
      <c r="J34" s="80">
        <f t="shared" si="0"/>
        <v>0</v>
      </c>
      <c r="K34" s="97">
        <v>2.4524700000000003E-13</v>
      </c>
      <c r="L34" s="98">
        <v>-7.4493900000000001E-18</v>
      </c>
      <c r="M34" s="81">
        <v>5</v>
      </c>
      <c r="N34" s="80">
        <f t="shared" si="1"/>
        <v>0</v>
      </c>
    </row>
    <row r="35" spans="1:14" ht="15.75" thickBot="1" x14ac:dyDescent="0.3">
      <c r="A35" s="57"/>
      <c r="B35" s="1">
        <v>33</v>
      </c>
      <c r="C35" s="98">
        <v>79.05</v>
      </c>
      <c r="D35" s="98">
        <v>61.6006</v>
      </c>
      <c r="E35" s="98">
        <v>64.629000000000005</v>
      </c>
      <c r="F35" s="88">
        <v>33</v>
      </c>
      <c r="G35" s="108">
        <v>62.726999999999997</v>
      </c>
      <c r="H35" s="98">
        <v>-0.92119799999999996</v>
      </c>
      <c r="I35" s="81">
        <v>32</v>
      </c>
      <c r="J35" s="80">
        <f t="shared" si="0"/>
        <v>1</v>
      </c>
      <c r="K35" s="97">
        <v>62.725299999999997</v>
      </c>
      <c r="L35" s="98">
        <v>-0.92119799999999996</v>
      </c>
      <c r="M35" s="81">
        <v>6</v>
      </c>
      <c r="N35" s="80">
        <f t="shared" si="1"/>
        <v>1</v>
      </c>
    </row>
    <row r="36" spans="1:14" ht="15.75" thickBot="1" x14ac:dyDescent="0.3">
      <c r="A36" s="57"/>
      <c r="B36" s="1">
        <v>34</v>
      </c>
      <c r="C36" s="98">
        <v>0.19</v>
      </c>
      <c r="D36" s="98">
        <v>-0.81</v>
      </c>
      <c r="E36" s="98">
        <v>-0.81</v>
      </c>
      <c r="F36" s="88">
        <v>3</v>
      </c>
      <c r="G36" s="108">
        <v>-0.81</v>
      </c>
      <c r="H36" s="98">
        <v>1.3122000000000001E-5</v>
      </c>
      <c r="I36" s="81">
        <v>2</v>
      </c>
      <c r="J36" s="80">
        <f t="shared" si="0"/>
        <v>0</v>
      </c>
      <c r="K36" s="97">
        <v>-0.81</v>
      </c>
      <c r="L36" s="98">
        <v>1.3122000000000001E-5</v>
      </c>
      <c r="M36" s="81">
        <v>3</v>
      </c>
      <c r="N36" s="80">
        <f t="shared" si="1"/>
        <v>0</v>
      </c>
    </row>
    <row r="37" spans="1:14" ht="15.75" thickBot="1" x14ac:dyDescent="0.3">
      <c r="A37" s="57"/>
      <c r="B37" s="1">
        <v>35</v>
      </c>
      <c r="C37" s="98">
        <v>-99.36</v>
      </c>
      <c r="D37" s="98">
        <v>-11.1625</v>
      </c>
      <c r="E37" s="98">
        <v>7.3589599999999997</v>
      </c>
      <c r="F37" s="88">
        <v>51</v>
      </c>
      <c r="G37" s="108">
        <v>-3.0184800000000002E-7</v>
      </c>
      <c r="H37" s="98">
        <v>-5.6271399999999996E-18</v>
      </c>
      <c r="I37" s="81">
        <v>36</v>
      </c>
      <c r="J37" s="80">
        <f t="shared" si="0"/>
        <v>0</v>
      </c>
      <c r="K37" s="97">
        <v>-1.90178</v>
      </c>
      <c r="L37" s="98">
        <v>7.2335299999999998E-5</v>
      </c>
      <c r="M37" s="81">
        <v>4</v>
      </c>
      <c r="N37" s="80">
        <f t="shared" si="1"/>
        <v>0</v>
      </c>
    </row>
    <row r="38" spans="1:14" ht="15.75" thickBot="1" x14ac:dyDescent="0.3">
      <c r="A38" s="57"/>
      <c r="B38" s="1">
        <v>36</v>
      </c>
      <c r="C38" s="98">
        <v>-3.68</v>
      </c>
      <c r="D38" s="98">
        <v>-0.22772899999999999</v>
      </c>
      <c r="E38" s="98">
        <v>0.49724800000000002</v>
      </c>
      <c r="F38" s="88">
        <v>17</v>
      </c>
      <c r="G38" s="108">
        <v>-2.4853200000000002E-7</v>
      </c>
      <c r="H38" s="98">
        <v>-6.2140199999999997E-18</v>
      </c>
      <c r="I38" s="81">
        <v>29</v>
      </c>
      <c r="J38" s="80">
        <f t="shared" si="0"/>
        <v>0</v>
      </c>
      <c r="K38" s="97">
        <v>2.3564800000000002E-13</v>
      </c>
      <c r="L38" s="98">
        <v>-7.4493900000000001E-18</v>
      </c>
      <c r="M38" s="81">
        <v>5</v>
      </c>
      <c r="N38" s="80">
        <f t="shared" si="1"/>
        <v>0</v>
      </c>
    </row>
    <row r="39" spans="1:14" ht="15.75" thickBot="1" x14ac:dyDescent="0.3">
      <c r="A39" s="57"/>
      <c r="B39" s="1">
        <v>37</v>
      </c>
      <c r="C39" s="98">
        <v>-16.079999999999998</v>
      </c>
      <c r="D39" s="98">
        <v>-1.6590100000000001</v>
      </c>
      <c r="E39" s="98">
        <v>1.3694</v>
      </c>
      <c r="F39" s="88">
        <v>32</v>
      </c>
      <c r="G39" s="108">
        <v>-1.5840499999999999E-7</v>
      </c>
      <c r="H39" s="98">
        <v>-6.9475399999999999E-18</v>
      </c>
      <c r="I39" s="81">
        <v>32</v>
      </c>
      <c r="J39" s="80">
        <f t="shared" si="0"/>
        <v>0</v>
      </c>
      <c r="K39" s="97">
        <v>-0.14480199999999999</v>
      </c>
      <c r="L39" s="98">
        <v>4.1935299999999998E-7</v>
      </c>
      <c r="M39" s="81">
        <v>4</v>
      </c>
      <c r="N39" s="80">
        <f t="shared" si="1"/>
        <v>0</v>
      </c>
    </row>
    <row r="40" spans="1:14" ht="15.75" thickBot="1" x14ac:dyDescent="0.3">
      <c r="A40" s="57"/>
      <c r="B40" s="1">
        <v>38</v>
      </c>
      <c r="C40" s="98">
        <v>-96.06</v>
      </c>
      <c r="D40" s="98">
        <v>-7.8625100000000003</v>
      </c>
      <c r="E40" s="98">
        <v>10.659000000000001</v>
      </c>
      <c r="F40" s="88">
        <v>51</v>
      </c>
      <c r="G40" s="108">
        <v>1.1028199999999999E-7</v>
      </c>
      <c r="H40" s="98">
        <v>-7.2061500000000007E-18</v>
      </c>
      <c r="I40" s="81">
        <v>36</v>
      </c>
      <c r="J40" s="80">
        <f t="shared" si="0"/>
        <v>0</v>
      </c>
      <c r="K40" s="97">
        <v>5.2637199999999995E-13</v>
      </c>
      <c r="L40" s="98">
        <v>-7.4493900000000001E-18</v>
      </c>
      <c r="M40" s="81">
        <v>5</v>
      </c>
      <c r="N40" s="80">
        <f t="shared" si="1"/>
        <v>0</v>
      </c>
    </row>
    <row r="41" spans="1:14" ht="15.75" thickBot="1" x14ac:dyDescent="0.3">
      <c r="A41" s="57"/>
      <c r="B41" s="1">
        <v>39</v>
      </c>
      <c r="C41" s="98">
        <v>-18.05</v>
      </c>
      <c r="D41" s="98">
        <v>-2.1869100000000001</v>
      </c>
      <c r="E41" s="98">
        <v>1.1443399999999999</v>
      </c>
      <c r="F41" s="88">
        <v>33</v>
      </c>
      <c r="G41" s="108">
        <v>1.9827099999999999E-7</v>
      </c>
      <c r="H41" s="98">
        <v>-6.6631600000000004E-18</v>
      </c>
      <c r="I41" s="81">
        <v>32</v>
      </c>
      <c r="J41" s="80">
        <f t="shared" si="0"/>
        <v>0</v>
      </c>
      <c r="K41" s="97">
        <v>-0.52128200000000002</v>
      </c>
      <c r="L41" s="98">
        <v>5.4346999999999998E-6</v>
      </c>
      <c r="M41" s="81">
        <v>4</v>
      </c>
      <c r="N41" s="80">
        <f t="shared" si="1"/>
        <v>0</v>
      </c>
    </row>
    <row r="42" spans="1:14" ht="15.75" thickBot="1" x14ac:dyDescent="0.3">
      <c r="A42" s="57"/>
      <c r="B42" s="1">
        <v>40</v>
      </c>
      <c r="C42" s="98">
        <v>10.199999999999999</v>
      </c>
      <c r="D42" s="98">
        <v>-0.63470599999999999</v>
      </c>
      <c r="E42" s="98">
        <v>1.2457</v>
      </c>
      <c r="F42" s="88">
        <v>28</v>
      </c>
      <c r="G42" s="108">
        <v>-8.4220900000000005E-8</v>
      </c>
      <c r="H42" s="98">
        <v>-7.3075200000000001E-18</v>
      </c>
      <c r="I42" s="81">
        <v>31</v>
      </c>
      <c r="J42" s="80">
        <f t="shared" si="0"/>
        <v>0</v>
      </c>
      <c r="K42" s="97">
        <v>2.4429999999999998E-13</v>
      </c>
      <c r="L42" s="98">
        <v>-7.4493900000000001E-18</v>
      </c>
      <c r="M42" s="81">
        <v>5</v>
      </c>
      <c r="N42" s="80">
        <f t="shared" si="1"/>
        <v>0</v>
      </c>
    </row>
    <row r="43" spans="1:14" ht="15.75" thickBot="1" x14ac:dyDescent="0.3">
      <c r="A43" s="57"/>
      <c r="B43" s="1">
        <v>41</v>
      </c>
      <c r="C43" s="98">
        <v>-65.41</v>
      </c>
      <c r="D43" s="98">
        <v>-5.1699299999999999</v>
      </c>
      <c r="E43" s="98">
        <v>7.48048</v>
      </c>
      <c r="F43" s="88">
        <v>47</v>
      </c>
      <c r="G43" s="108">
        <v>-3.1767699999999999E-7</v>
      </c>
      <c r="H43" s="98">
        <v>-5.4310100000000003E-18</v>
      </c>
      <c r="I43" s="81">
        <v>35</v>
      </c>
      <c r="J43" s="80">
        <f t="shared" si="0"/>
        <v>0</v>
      </c>
      <c r="K43" s="97">
        <v>4.2583799999999999E-13</v>
      </c>
      <c r="L43" s="98">
        <v>-7.4493900000000001E-18</v>
      </c>
      <c r="M43" s="81">
        <v>5</v>
      </c>
      <c r="N43" s="80">
        <f t="shared" si="1"/>
        <v>0</v>
      </c>
    </row>
    <row r="44" spans="1:14" ht="15.75" thickBot="1" x14ac:dyDescent="0.3">
      <c r="A44" s="57"/>
      <c r="B44" s="1">
        <v>42</v>
      </c>
      <c r="C44" s="98">
        <v>-85.65</v>
      </c>
      <c r="D44" s="98">
        <v>-5.4704699999999997</v>
      </c>
      <c r="E44" s="98">
        <v>11.3672</v>
      </c>
      <c r="F44" s="88">
        <v>50</v>
      </c>
      <c r="G44" s="108">
        <v>-2.35191E-7</v>
      </c>
      <c r="H44" s="98">
        <v>-6.34309E-18</v>
      </c>
      <c r="I44" s="81">
        <v>36</v>
      </c>
      <c r="J44" s="80">
        <f t="shared" si="0"/>
        <v>0</v>
      </c>
      <c r="K44" s="97">
        <v>1.4315699999999999E-12</v>
      </c>
      <c r="L44" s="98">
        <v>-7.4493900000000001E-18</v>
      </c>
      <c r="M44" s="81">
        <v>5</v>
      </c>
      <c r="N44" s="80">
        <f t="shared" si="1"/>
        <v>0</v>
      </c>
    </row>
    <row r="45" spans="1:14" ht="15.75" thickBot="1" x14ac:dyDescent="0.3">
      <c r="A45" s="57"/>
      <c r="B45" s="1">
        <v>43</v>
      </c>
      <c r="C45" s="98">
        <v>62.34</v>
      </c>
      <c r="D45" s="98">
        <v>61.34</v>
      </c>
      <c r="E45" s="98">
        <v>61.34</v>
      </c>
      <c r="F45" s="88">
        <v>3</v>
      </c>
      <c r="G45" s="108">
        <v>61.34</v>
      </c>
      <c r="H45" s="98">
        <v>-0.89278400000000002</v>
      </c>
      <c r="I45" s="81">
        <v>2</v>
      </c>
      <c r="J45" s="80">
        <f t="shared" si="0"/>
        <v>1</v>
      </c>
      <c r="K45" s="97">
        <v>61.34</v>
      </c>
      <c r="L45" s="98">
        <v>-0.89278400000000002</v>
      </c>
      <c r="M45" s="81">
        <v>3</v>
      </c>
      <c r="N45" s="80">
        <f t="shared" si="1"/>
        <v>1</v>
      </c>
    </row>
    <row r="46" spans="1:14" ht="15.75" thickBot="1" x14ac:dyDescent="0.3">
      <c r="A46" s="57"/>
      <c r="B46" s="1">
        <v>44</v>
      </c>
      <c r="C46" s="98">
        <v>-28.55</v>
      </c>
      <c r="D46" s="98">
        <v>-3.0023300000000002</v>
      </c>
      <c r="E46" s="98">
        <v>2.3626800000000001</v>
      </c>
      <c r="F46" s="88">
        <v>38</v>
      </c>
      <c r="G46" s="108">
        <v>-1.4184E-7</v>
      </c>
      <c r="H46" s="98">
        <v>-7.0470200000000006E-18</v>
      </c>
      <c r="I46" s="81">
        <v>33</v>
      </c>
      <c r="J46" s="80">
        <f t="shared" si="0"/>
        <v>0</v>
      </c>
      <c r="K46" s="97">
        <v>-0.31982500000000003</v>
      </c>
      <c r="L46" s="98">
        <v>2.0457600000000001E-6</v>
      </c>
      <c r="M46" s="81">
        <v>4</v>
      </c>
      <c r="N46" s="80">
        <f t="shared" si="1"/>
        <v>0</v>
      </c>
    </row>
    <row r="47" spans="1:14" ht="15.75" thickBot="1" x14ac:dyDescent="0.3">
      <c r="A47" s="57"/>
      <c r="B47" s="1">
        <v>45</v>
      </c>
      <c r="C47" s="98">
        <v>-6.7</v>
      </c>
      <c r="D47" s="98">
        <v>-0.58409100000000003</v>
      </c>
      <c r="E47" s="98">
        <v>0.70025000000000004</v>
      </c>
      <c r="F47" s="88">
        <v>23</v>
      </c>
      <c r="G47" s="108">
        <v>4.39186E-7</v>
      </c>
      <c r="H47" s="98">
        <v>-3.5917099999999997E-18</v>
      </c>
      <c r="I47" s="81">
        <v>30</v>
      </c>
      <c r="J47" s="80">
        <f t="shared" si="0"/>
        <v>0</v>
      </c>
      <c r="K47" s="97">
        <v>2.3560999999999999E-13</v>
      </c>
      <c r="L47" s="98">
        <v>-7.4493900000000001E-18</v>
      </c>
      <c r="M47" s="81">
        <v>5</v>
      </c>
      <c r="N47" s="80">
        <f t="shared" si="1"/>
        <v>0</v>
      </c>
    </row>
    <row r="48" spans="1:14" ht="15.75" thickBot="1" x14ac:dyDescent="0.3">
      <c r="A48" s="57"/>
      <c r="B48" s="1">
        <v>46</v>
      </c>
      <c r="C48" s="98">
        <v>61.48</v>
      </c>
      <c r="D48" s="98">
        <v>62.58</v>
      </c>
      <c r="E48" s="98">
        <v>62.811</v>
      </c>
      <c r="F48" s="88">
        <v>5</v>
      </c>
      <c r="G48" s="108">
        <v>62.726999999999997</v>
      </c>
      <c r="H48" s="98">
        <v>-0.92119799999999996</v>
      </c>
      <c r="I48" s="81">
        <v>27</v>
      </c>
      <c r="J48" s="80">
        <f t="shared" si="0"/>
        <v>1</v>
      </c>
      <c r="K48" s="97">
        <v>62.695500000000003</v>
      </c>
      <c r="L48" s="98">
        <v>-0.92118299999999997</v>
      </c>
      <c r="M48" s="81">
        <v>4</v>
      </c>
      <c r="N48" s="80">
        <f t="shared" si="1"/>
        <v>1</v>
      </c>
    </row>
    <row r="49" spans="1:14" ht="15.75" thickBot="1" x14ac:dyDescent="0.3">
      <c r="A49" s="57"/>
      <c r="B49" s="1">
        <v>47</v>
      </c>
      <c r="C49" s="98">
        <v>-34.950000000000003</v>
      </c>
      <c r="D49" s="98">
        <v>-4.0373200000000002</v>
      </c>
      <c r="E49" s="98">
        <v>2.4543400000000002</v>
      </c>
      <c r="F49" s="88">
        <v>40</v>
      </c>
      <c r="G49" s="108">
        <v>1.31002E-7</v>
      </c>
      <c r="H49" s="98">
        <v>-7.1061599999999995E-18</v>
      </c>
      <c r="I49" s="81">
        <v>34</v>
      </c>
      <c r="J49" s="80">
        <f t="shared" si="0"/>
        <v>0</v>
      </c>
      <c r="K49" s="97">
        <v>-0.79148799999999997</v>
      </c>
      <c r="L49" s="98">
        <v>1.25291E-5</v>
      </c>
      <c r="M49" s="81">
        <v>4</v>
      </c>
      <c r="N49" s="80">
        <f t="shared" si="1"/>
        <v>0</v>
      </c>
    </row>
    <row r="50" spans="1:14" ht="15.75" thickBot="1" x14ac:dyDescent="0.3">
      <c r="A50" s="57"/>
      <c r="B50" s="1">
        <v>48</v>
      </c>
      <c r="C50" s="98">
        <v>72.3</v>
      </c>
      <c r="D50" s="98">
        <v>61.465299999999999</v>
      </c>
      <c r="E50" s="98">
        <v>63.345700000000001</v>
      </c>
      <c r="F50" s="88">
        <v>28</v>
      </c>
      <c r="G50" s="108">
        <v>62.726999999999997</v>
      </c>
      <c r="H50" s="98">
        <v>-0.92119799999999996</v>
      </c>
      <c r="I50" s="81">
        <v>31</v>
      </c>
      <c r="J50" s="80">
        <f t="shared" si="0"/>
        <v>1</v>
      </c>
      <c r="K50" s="97">
        <v>62.405500000000004</v>
      </c>
      <c r="L50" s="98">
        <v>-0.91964900000000005</v>
      </c>
      <c r="M50" s="81">
        <v>4</v>
      </c>
      <c r="N50" s="80">
        <f t="shared" si="1"/>
        <v>1</v>
      </c>
    </row>
    <row r="51" spans="1:14" ht="15.75" thickBot="1" x14ac:dyDescent="0.3">
      <c r="A51" s="57"/>
      <c r="B51" s="1">
        <v>49</v>
      </c>
      <c r="C51" s="98">
        <v>38.29</v>
      </c>
      <c r="D51" s="98">
        <v>-2.8547799999999999</v>
      </c>
      <c r="E51" s="98">
        <v>4.2860500000000004</v>
      </c>
      <c r="F51" s="88">
        <v>42</v>
      </c>
      <c r="G51" s="108">
        <v>-3.2633300000000001E-8</v>
      </c>
      <c r="H51" s="98">
        <v>-7.42809E-18</v>
      </c>
      <c r="I51" s="81">
        <v>34</v>
      </c>
      <c r="J51" s="80">
        <f t="shared" si="0"/>
        <v>0</v>
      </c>
      <c r="K51" s="97">
        <v>3.1194499999999999E-13</v>
      </c>
      <c r="L51" s="98">
        <v>-7.4493900000000001E-18</v>
      </c>
      <c r="M51" s="81">
        <v>5</v>
      </c>
      <c r="N51" s="80">
        <f t="shared" si="1"/>
        <v>0</v>
      </c>
    </row>
    <row r="52" spans="1:14" ht="15.75" thickBot="1" x14ac:dyDescent="0.3">
      <c r="A52" s="57"/>
      <c r="B52" s="1">
        <v>50</v>
      </c>
      <c r="C52" s="98">
        <v>16.07</v>
      </c>
      <c r="D52" s="98">
        <v>-1.3794</v>
      </c>
      <c r="E52" s="98">
        <v>1.6490100000000001</v>
      </c>
      <c r="F52" s="88">
        <v>33</v>
      </c>
      <c r="G52" s="108">
        <v>-1.7072300000000001E-7</v>
      </c>
      <c r="H52" s="98">
        <v>-6.8664599999999999E-18</v>
      </c>
      <c r="I52" s="81">
        <v>32</v>
      </c>
      <c r="J52" s="80">
        <f t="shared" si="0"/>
        <v>0</v>
      </c>
      <c r="K52" s="97">
        <v>2.4172799999999998E-13</v>
      </c>
      <c r="L52" s="98">
        <v>-7.4493900000000001E-18</v>
      </c>
      <c r="M52" s="81">
        <v>5</v>
      </c>
      <c r="N52" s="80">
        <f t="shared" si="1"/>
        <v>0</v>
      </c>
    </row>
    <row r="53" spans="1:14" ht="15.75" thickBot="1" x14ac:dyDescent="0.3">
      <c r="A53" s="57"/>
      <c r="B53" s="1">
        <v>51</v>
      </c>
      <c r="C53" s="98">
        <v>-91.57</v>
      </c>
      <c r="D53" s="98">
        <v>-11.390499999999999</v>
      </c>
      <c r="E53" s="98">
        <v>5.4472300000000002</v>
      </c>
      <c r="F53" s="88">
        <v>50</v>
      </c>
      <c r="G53" s="108">
        <v>1.5923800000000001E-7</v>
      </c>
      <c r="H53" s="98">
        <v>-6.9422500000000002E-18</v>
      </c>
      <c r="I53" s="81">
        <v>36</v>
      </c>
      <c r="J53" s="80">
        <f t="shared" si="0"/>
        <v>0</v>
      </c>
      <c r="K53" s="97">
        <v>-2.9716200000000002</v>
      </c>
      <c r="L53" s="98">
        <v>1.7661E-4</v>
      </c>
      <c r="M53" s="81">
        <v>4</v>
      </c>
      <c r="N53" s="80">
        <f t="shared" si="1"/>
        <v>0</v>
      </c>
    </row>
    <row r="54" spans="1:14" ht="15.75" thickBot="1" x14ac:dyDescent="0.3">
      <c r="A54" s="57"/>
      <c r="B54" s="1">
        <v>52</v>
      </c>
      <c r="C54" s="98">
        <v>-57.72</v>
      </c>
      <c r="D54" s="98">
        <v>-2.9563000000000001</v>
      </c>
      <c r="E54" s="98">
        <v>8.5440799999999992</v>
      </c>
      <c r="F54" s="88">
        <v>46</v>
      </c>
      <c r="G54" s="108">
        <v>-2.4683899999999998E-7</v>
      </c>
      <c r="H54" s="98">
        <v>-6.2308E-18</v>
      </c>
      <c r="I54" s="81">
        <v>35</v>
      </c>
      <c r="J54" s="80">
        <f t="shared" si="0"/>
        <v>0</v>
      </c>
      <c r="K54" s="97">
        <v>1.0139E-12</v>
      </c>
      <c r="L54" s="98">
        <v>-7.4493900000000001E-18</v>
      </c>
      <c r="M54" s="81">
        <v>5</v>
      </c>
      <c r="N54" s="80">
        <f t="shared" si="1"/>
        <v>0</v>
      </c>
    </row>
    <row r="55" spans="1:14" ht="15.75" thickBot="1" x14ac:dyDescent="0.3">
      <c r="A55" s="57"/>
      <c r="B55" s="1">
        <v>53</v>
      </c>
      <c r="C55" s="98">
        <v>31.03</v>
      </c>
      <c r="D55" s="98">
        <v>-2.9739499999999999</v>
      </c>
      <c r="E55" s="98">
        <v>2.9275600000000002</v>
      </c>
      <c r="F55" s="88">
        <v>40</v>
      </c>
      <c r="G55" s="108">
        <v>-5.5755599999999998E-8</v>
      </c>
      <c r="H55" s="98">
        <v>-7.38721E-18</v>
      </c>
      <c r="I55" s="81">
        <v>34</v>
      </c>
      <c r="J55" s="80">
        <f t="shared" si="0"/>
        <v>0</v>
      </c>
      <c r="K55" s="97">
        <v>-2.31927E-2</v>
      </c>
      <c r="L55" s="98">
        <v>1.0757999999999999E-8</v>
      </c>
      <c r="M55" s="81">
        <v>4</v>
      </c>
      <c r="N55" s="80">
        <f t="shared" si="1"/>
        <v>0</v>
      </c>
    </row>
    <row r="56" spans="1:14" ht="15.75" thickBot="1" x14ac:dyDescent="0.3">
      <c r="A56" s="57"/>
      <c r="B56" s="1">
        <v>54</v>
      </c>
      <c r="C56" s="98">
        <v>-92.68</v>
      </c>
      <c r="D56" s="98">
        <v>-4.4825100000000004</v>
      </c>
      <c r="E56" s="98">
        <v>14.039</v>
      </c>
      <c r="F56" s="88">
        <v>51</v>
      </c>
      <c r="G56" s="108">
        <v>-1.4599800000000001E-7</v>
      </c>
      <c r="H56" s="98">
        <v>-7.02307E-18</v>
      </c>
      <c r="I56" s="81">
        <v>36</v>
      </c>
      <c r="J56" s="80">
        <f t="shared" si="0"/>
        <v>0</v>
      </c>
      <c r="K56" s="97">
        <v>-3.3211100000000001E-10</v>
      </c>
      <c r="L56" s="98">
        <v>-7.4493800000000003E-18</v>
      </c>
      <c r="M56" s="81">
        <v>5</v>
      </c>
      <c r="N56" s="80">
        <f t="shared" si="1"/>
        <v>0</v>
      </c>
    </row>
    <row r="57" spans="1:14" ht="15.75" thickBot="1" x14ac:dyDescent="0.3">
      <c r="A57" s="57"/>
      <c r="B57" s="1">
        <v>55</v>
      </c>
      <c r="C57" s="98">
        <v>-31.89</v>
      </c>
      <c r="D57" s="98">
        <v>-3.78756</v>
      </c>
      <c r="E57" s="98">
        <v>2.11395</v>
      </c>
      <c r="F57" s="88">
        <v>39</v>
      </c>
      <c r="G57" s="108">
        <v>1.96415E-7</v>
      </c>
      <c r="H57" s="98">
        <v>-6.6778099999999998E-18</v>
      </c>
      <c r="I57" s="81">
        <v>34</v>
      </c>
      <c r="J57" s="80">
        <f t="shared" si="0"/>
        <v>0</v>
      </c>
      <c r="K57" s="97">
        <v>-0.83680699999999997</v>
      </c>
      <c r="L57" s="98">
        <v>1.40049E-5</v>
      </c>
      <c r="M57" s="81">
        <v>4</v>
      </c>
      <c r="N57" s="80">
        <f t="shared" si="1"/>
        <v>0</v>
      </c>
    </row>
    <row r="58" spans="1:14" ht="15.75" thickBot="1" x14ac:dyDescent="0.3">
      <c r="A58" s="57"/>
      <c r="B58" s="1">
        <v>56</v>
      </c>
      <c r="C58" s="98">
        <v>-88.2</v>
      </c>
      <c r="D58" s="98">
        <v>-8.0204699999999995</v>
      </c>
      <c r="E58" s="98">
        <v>8.8172300000000003</v>
      </c>
      <c r="F58" s="88">
        <v>50</v>
      </c>
      <c r="G58" s="108">
        <v>-2.7486000000000001E-7</v>
      </c>
      <c r="H58" s="98">
        <v>-5.9384299999999999E-18</v>
      </c>
      <c r="I58" s="81">
        <v>36</v>
      </c>
      <c r="J58" s="80">
        <f t="shared" si="0"/>
        <v>0</v>
      </c>
      <c r="K58" s="97">
        <v>2.8853600000000001E-13</v>
      </c>
      <c r="L58" s="98">
        <v>-7.4493900000000001E-18</v>
      </c>
      <c r="M58" s="81">
        <v>5</v>
      </c>
      <c r="N58" s="80">
        <f t="shared" si="1"/>
        <v>0</v>
      </c>
    </row>
    <row r="59" spans="1:14" ht="15.75" thickBot="1" x14ac:dyDescent="0.3">
      <c r="A59" s="57"/>
      <c r="B59" s="1">
        <v>57</v>
      </c>
      <c r="C59" s="98">
        <v>-8.07</v>
      </c>
      <c r="D59" s="98">
        <v>-0.66974999999999996</v>
      </c>
      <c r="E59" s="98">
        <v>0.88430200000000003</v>
      </c>
      <c r="F59" s="88">
        <v>25</v>
      </c>
      <c r="G59" s="108">
        <v>6.6612599999999994E-8</v>
      </c>
      <c r="H59" s="98">
        <v>-7.3606399999999997E-18</v>
      </c>
      <c r="I59" s="81">
        <v>31</v>
      </c>
      <c r="J59" s="80">
        <f t="shared" si="0"/>
        <v>0</v>
      </c>
      <c r="K59" s="97">
        <v>2.3747E-13</v>
      </c>
      <c r="L59" s="98">
        <v>-7.4493900000000001E-18</v>
      </c>
      <c r="M59" s="81">
        <v>5</v>
      </c>
      <c r="N59" s="80">
        <f t="shared" si="1"/>
        <v>0</v>
      </c>
    </row>
    <row r="60" spans="1:14" ht="15.75" thickBot="1" x14ac:dyDescent="0.3">
      <c r="A60" s="57"/>
      <c r="B60" s="1">
        <v>58</v>
      </c>
      <c r="C60" s="98">
        <v>-31.18</v>
      </c>
      <c r="D60" s="98">
        <v>-3.0775600000000001</v>
      </c>
      <c r="E60" s="98">
        <v>2.82395</v>
      </c>
      <c r="F60" s="88">
        <v>39</v>
      </c>
      <c r="G60" s="108">
        <v>-2.4692700000000002E-7</v>
      </c>
      <c r="H60" s="98">
        <v>-6.2299199999999997E-18</v>
      </c>
      <c r="I60" s="81">
        <v>34</v>
      </c>
      <c r="J60" s="80">
        <f t="shared" si="0"/>
        <v>0</v>
      </c>
      <c r="K60" s="97">
        <v>-0.126807</v>
      </c>
      <c r="L60" s="98">
        <v>3.2160200000000002E-7</v>
      </c>
      <c r="M60" s="81">
        <v>4</v>
      </c>
      <c r="N60" s="80">
        <f t="shared" si="1"/>
        <v>0</v>
      </c>
    </row>
    <row r="61" spans="1:14" ht="15.75" thickBot="1" x14ac:dyDescent="0.3">
      <c r="A61" s="57"/>
      <c r="B61" s="1">
        <v>59</v>
      </c>
      <c r="C61" s="98">
        <v>-17.71</v>
      </c>
      <c r="D61" s="98">
        <v>-1.8469100000000001</v>
      </c>
      <c r="E61" s="98">
        <v>1.48434</v>
      </c>
      <c r="F61" s="88">
        <v>33</v>
      </c>
      <c r="G61" s="108">
        <v>4.6822900000000003E-8</v>
      </c>
      <c r="H61" s="98">
        <v>-7.4055400000000001E-18</v>
      </c>
      <c r="I61" s="81">
        <v>32</v>
      </c>
      <c r="J61" s="80">
        <f t="shared" si="0"/>
        <v>0</v>
      </c>
      <c r="K61" s="97">
        <v>-0.181282</v>
      </c>
      <c r="L61" s="98">
        <v>6.5726500000000003E-7</v>
      </c>
      <c r="M61" s="81">
        <v>4</v>
      </c>
      <c r="N61" s="80">
        <f t="shared" si="1"/>
        <v>0</v>
      </c>
    </row>
    <row r="62" spans="1:14" ht="15.75" thickBot="1" x14ac:dyDescent="0.3">
      <c r="A62" s="57"/>
      <c r="B62" s="1">
        <v>60</v>
      </c>
      <c r="C62" s="98">
        <v>-37.869999999999997</v>
      </c>
      <c r="D62" s="98">
        <v>-3.86605</v>
      </c>
      <c r="E62" s="98">
        <v>3.2747799999999998</v>
      </c>
      <c r="F62" s="88">
        <v>41</v>
      </c>
      <c r="G62" s="108">
        <v>5.51134E-8</v>
      </c>
      <c r="H62" s="98">
        <v>-7.3886399999999998E-18</v>
      </c>
      <c r="I62" s="81">
        <v>34</v>
      </c>
      <c r="J62" s="80">
        <f t="shared" si="0"/>
        <v>0</v>
      </c>
      <c r="K62" s="97">
        <v>-0.29563699999999998</v>
      </c>
      <c r="L62" s="98">
        <v>1.74802E-6</v>
      </c>
      <c r="M62" s="81">
        <v>4</v>
      </c>
      <c r="N62" s="80">
        <f t="shared" si="1"/>
        <v>0</v>
      </c>
    </row>
    <row r="63" spans="1:14" ht="15.75" thickBot="1" x14ac:dyDescent="0.3">
      <c r="A63" s="57"/>
      <c r="B63" s="1">
        <v>61</v>
      </c>
      <c r="C63" s="98">
        <v>-44.7</v>
      </c>
      <c r="D63" s="98">
        <v>-3.5552199999999998</v>
      </c>
      <c r="E63" s="98">
        <v>5.0851800000000003</v>
      </c>
      <c r="F63" s="88">
        <v>43</v>
      </c>
      <c r="G63" s="108">
        <v>-4.1842899999999999E-7</v>
      </c>
      <c r="H63" s="98">
        <v>-3.9477300000000002E-18</v>
      </c>
      <c r="I63" s="81">
        <v>34</v>
      </c>
      <c r="J63" s="80">
        <f t="shared" si="0"/>
        <v>0</v>
      </c>
      <c r="K63" s="97">
        <v>3.2792899999999998E-13</v>
      </c>
      <c r="L63" s="98">
        <v>-7.4493900000000001E-18</v>
      </c>
      <c r="M63" s="81">
        <v>5</v>
      </c>
      <c r="N63" s="80">
        <f t="shared" si="1"/>
        <v>0</v>
      </c>
    </row>
    <row r="64" spans="1:14" ht="15.75" thickBot="1" x14ac:dyDescent="0.3">
      <c r="A64" s="57"/>
      <c r="B64" s="1">
        <v>62</v>
      </c>
      <c r="C64" s="98">
        <v>38.03</v>
      </c>
      <c r="D64" s="98">
        <v>-3.1147800000000001</v>
      </c>
      <c r="E64" s="98">
        <v>4.0260499999999997</v>
      </c>
      <c r="F64" s="88">
        <v>42</v>
      </c>
      <c r="G64" s="108">
        <v>-1.2025100000000001E-7</v>
      </c>
      <c r="H64" s="98">
        <v>-7.1601800000000004E-18</v>
      </c>
      <c r="I64" s="81">
        <v>34</v>
      </c>
      <c r="J64" s="80">
        <f t="shared" si="0"/>
        <v>0</v>
      </c>
      <c r="K64" s="97">
        <v>2.8091999999999998E-13</v>
      </c>
      <c r="L64" s="98">
        <v>-7.4493900000000001E-18</v>
      </c>
      <c r="M64" s="81">
        <v>5</v>
      </c>
      <c r="N64" s="80">
        <f t="shared" si="1"/>
        <v>0</v>
      </c>
    </row>
    <row r="65" spans="1:14" ht="15.75" thickBot="1" x14ac:dyDescent="0.3">
      <c r="A65" s="57"/>
      <c r="B65" s="1">
        <v>63</v>
      </c>
      <c r="C65" s="98">
        <v>15.45</v>
      </c>
      <c r="D65" s="98">
        <v>-1.9994000000000001</v>
      </c>
      <c r="E65" s="98">
        <v>1.02901</v>
      </c>
      <c r="F65" s="88">
        <v>33</v>
      </c>
      <c r="G65" s="108">
        <v>4.4795300000000001E-8</v>
      </c>
      <c r="H65" s="98">
        <v>-7.4092499999999993E-18</v>
      </c>
      <c r="I65" s="81">
        <v>32</v>
      </c>
      <c r="J65" s="80">
        <f t="shared" si="0"/>
        <v>0</v>
      </c>
      <c r="K65" s="97">
        <v>-0.48519800000000002</v>
      </c>
      <c r="L65" s="98">
        <v>4.7083399999999997E-6</v>
      </c>
      <c r="M65" s="81">
        <v>4</v>
      </c>
      <c r="N65" s="80">
        <f t="shared" si="1"/>
        <v>0</v>
      </c>
    </row>
    <row r="66" spans="1:14" ht="15.75" thickBot="1" x14ac:dyDescent="0.3">
      <c r="A66" s="57"/>
      <c r="B66" s="1">
        <v>64</v>
      </c>
      <c r="C66" s="98">
        <v>-71.22</v>
      </c>
      <c r="D66" s="98">
        <v>-4.9559199999999999</v>
      </c>
      <c r="E66" s="98">
        <v>8.9595300000000009</v>
      </c>
      <c r="F66" s="88">
        <v>48</v>
      </c>
      <c r="G66" s="108">
        <v>-3.2443299999999998E-7</v>
      </c>
      <c r="H66" s="98">
        <v>-5.3442499999999999E-18</v>
      </c>
      <c r="I66" s="81">
        <v>35</v>
      </c>
      <c r="J66" s="80">
        <f t="shared" si="0"/>
        <v>0</v>
      </c>
      <c r="K66" s="97">
        <v>7.1529299999999999E-13</v>
      </c>
      <c r="L66" s="98">
        <v>-7.4493900000000001E-18</v>
      </c>
      <c r="M66" s="81">
        <v>5</v>
      </c>
      <c r="N66" s="80">
        <f t="shared" si="1"/>
        <v>0</v>
      </c>
    </row>
    <row r="67" spans="1:14" ht="15.75" thickBot="1" x14ac:dyDescent="0.3">
      <c r="A67" s="57"/>
      <c r="B67" s="1">
        <v>65</v>
      </c>
      <c r="C67" s="98">
        <v>-57.54</v>
      </c>
      <c r="D67" s="98">
        <v>-2.7763</v>
      </c>
      <c r="E67" s="98">
        <v>8.7240800000000007</v>
      </c>
      <c r="F67" s="88">
        <v>46</v>
      </c>
      <c r="G67" s="108">
        <v>3.7595700000000001E-7</v>
      </c>
      <c r="H67" s="98">
        <v>-4.6225200000000001E-18</v>
      </c>
      <c r="I67" s="81">
        <v>35</v>
      </c>
      <c r="J67" s="80">
        <f t="shared" si="0"/>
        <v>0</v>
      </c>
      <c r="K67" s="97">
        <v>-8.36315E-12</v>
      </c>
      <c r="L67" s="98">
        <v>-7.4493900000000001E-18</v>
      </c>
      <c r="M67" s="81">
        <v>5</v>
      </c>
      <c r="N67" s="80">
        <f t="shared" si="1"/>
        <v>0</v>
      </c>
    </row>
    <row r="68" spans="1:14" ht="15.75" thickBot="1" x14ac:dyDescent="0.3">
      <c r="A68" s="57"/>
      <c r="B68" s="1">
        <v>66</v>
      </c>
      <c r="C68" s="98">
        <v>-11.59</v>
      </c>
      <c r="D68" s="98">
        <v>-0.75529400000000002</v>
      </c>
      <c r="E68" s="98">
        <v>1.51999</v>
      </c>
      <c r="F68" s="88">
        <v>29</v>
      </c>
      <c r="G68" s="108">
        <v>-2.8786300000000001E-7</v>
      </c>
      <c r="H68" s="98">
        <v>-5.7920799999999999E-18</v>
      </c>
      <c r="I68" s="81">
        <v>32</v>
      </c>
      <c r="J68" s="80">
        <f t="shared" ref="J68:J131" si="2">IF(G68&lt;60,0,1)</f>
        <v>0</v>
      </c>
      <c r="K68" s="97">
        <v>2.4930300000000002E-13</v>
      </c>
      <c r="L68" s="98">
        <v>-7.4493900000000001E-18</v>
      </c>
      <c r="M68" s="81">
        <v>5</v>
      </c>
      <c r="N68" s="80">
        <f t="shared" ref="N68:N131" si="3">IF(K68&lt;60,0,1)</f>
        <v>0</v>
      </c>
    </row>
    <row r="69" spans="1:14" ht="15.75" thickBot="1" x14ac:dyDescent="0.3">
      <c r="A69" s="57"/>
      <c r="B69" s="1">
        <v>67</v>
      </c>
      <c r="C69" s="98">
        <v>71.040000000000006</v>
      </c>
      <c r="D69" s="98">
        <v>62.085700000000003</v>
      </c>
      <c r="E69" s="98">
        <v>63.639800000000001</v>
      </c>
      <c r="F69" s="88">
        <v>26</v>
      </c>
      <c r="G69" s="108">
        <v>62.726999999999997</v>
      </c>
      <c r="H69" s="98">
        <v>-0.92119799999999996</v>
      </c>
      <c r="I69" s="81">
        <v>31</v>
      </c>
      <c r="J69" s="80">
        <f t="shared" si="2"/>
        <v>1</v>
      </c>
      <c r="K69" s="97">
        <v>62.726799999999997</v>
      </c>
      <c r="L69" s="98">
        <v>-0.92119799999999996</v>
      </c>
      <c r="M69" s="81">
        <v>6</v>
      </c>
      <c r="N69" s="80">
        <f t="shared" si="3"/>
        <v>1</v>
      </c>
    </row>
    <row r="70" spans="1:14" ht="15.75" thickBot="1" x14ac:dyDescent="0.3">
      <c r="A70" s="57"/>
      <c r="B70" s="1">
        <v>68</v>
      </c>
      <c r="C70" s="98">
        <v>4.41</v>
      </c>
      <c r="D70" s="98">
        <v>-0.64446999999999999</v>
      </c>
      <c r="E70" s="98">
        <v>0.23275199999999999</v>
      </c>
      <c r="F70" s="88">
        <v>20</v>
      </c>
      <c r="G70" s="108">
        <v>1.50682E-7</v>
      </c>
      <c r="H70" s="98">
        <v>-6.9952900000000003E-18</v>
      </c>
      <c r="I70" s="81">
        <v>30</v>
      </c>
      <c r="J70" s="80">
        <f t="shared" si="2"/>
        <v>0</v>
      </c>
      <c r="K70" s="97">
        <v>-0.20585899999999999</v>
      </c>
      <c r="L70" s="98">
        <v>8.4756E-7</v>
      </c>
      <c r="M70" s="81">
        <v>4</v>
      </c>
      <c r="N70" s="80">
        <f t="shared" si="3"/>
        <v>0</v>
      </c>
    </row>
    <row r="71" spans="1:14" ht="15.75" thickBot="1" x14ac:dyDescent="0.3">
      <c r="A71" s="57"/>
      <c r="B71" s="1">
        <v>69</v>
      </c>
      <c r="C71" s="98">
        <v>-82.36</v>
      </c>
      <c r="D71" s="98">
        <v>-9.4695199999999993</v>
      </c>
      <c r="E71" s="98">
        <v>5.8374899999999998</v>
      </c>
      <c r="F71" s="88">
        <v>49</v>
      </c>
      <c r="G71" s="108">
        <v>2.26621E-7</v>
      </c>
      <c r="H71" s="98">
        <v>-6.4222499999999999E-18</v>
      </c>
      <c r="I71" s="81">
        <v>36</v>
      </c>
      <c r="J71" s="80">
        <f t="shared" si="2"/>
        <v>0</v>
      </c>
      <c r="K71" s="97">
        <v>-1.81602</v>
      </c>
      <c r="L71" s="98">
        <v>6.5958199999999995E-5</v>
      </c>
      <c r="M71" s="81">
        <v>4</v>
      </c>
      <c r="N71" s="80">
        <f t="shared" si="3"/>
        <v>0</v>
      </c>
    </row>
    <row r="72" spans="1:14" ht="15.75" thickBot="1" x14ac:dyDescent="0.3">
      <c r="A72" s="57"/>
      <c r="B72" s="1">
        <v>70</v>
      </c>
      <c r="C72" s="98">
        <v>-97.25</v>
      </c>
      <c r="D72" s="98">
        <v>-9.0525099999999998</v>
      </c>
      <c r="E72" s="98">
        <v>9.4689599999999992</v>
      </c>
      <c r="F72" s="88">
        <v>51</v>
      </c>
      <c r="G72" s="108">
        <v>2.7763300000000001E-7</v>
      </c>
      <c r="H72" s="98">
        <v>-5.9077899999999997E-18</v>
      </c>
      <c r="I72" s="81">
        <v>36</v>
      </c>
      <c r="J72" s="80">
        <f t="shared" si="2"/>
        <v>0</v>
      </c>
      <c r="K72" s="97">
        <v>2.61074E-13</v>
      </c>
      <c r="L72" s="98">
        <v>-7.4493900000000001E-18</v>
      </c>
      <c r="M72" s="81">
        <v>5</v>
      </c>
      <c r="N72" s="80">
        <f t="shared" si="3"/>
        <v>0</v>
      </c>
    </row>
    <row r="73" spans="1:14" ht="15.75" thickBot="1" x14ac:dyDescent="0.3">
      <c r="A73" s="57"/>
      <c r="B73" s="1">
        <v>71</v>
      </c>
      <c r="C73" s="98">
        <v>-79.02</v>
      </c>
      <c r="D73" s="98">
        <v>-6.1295200000000003</v>
      </c>
      <c r="E73" s="98">
        <v>9.1774900000000006</v>
      </c>
      <c r="F73" s="88">
        <v>49</v>
      </c>
      <c r="G73" s="108">
        <v>2.3484700000000001E-7</v>
      </c>
      <c r="H73" s="98">
        <v>-6.3463299999999999E-18</v>
      </c>
      <c r="I73" s="81">
        <v>36</v>
      </c>
      <c r="J73" s="80">
        <f t="shared" si="2"/>
        <v>0</v>
      </c>
      <c r="K73" s="97">
        <v>5.4905500000000003E-13</v>
      </c>
      <c r="L73" s="98">
        <v>-7.4493900000000001E-18</v>
      </c>
      <c r="M73" s="81">
        <v>5</v>
      </c>
      <c r="N73" s="80">
        <f t="shared" si="3"/>
        <v>0</v>
      </c>
    </row>
    <row r="74" spans="1:14" ht="15.75" thickBot="1" x14ac:dyDescent="0.3">
      <c r="A74" s="57"/>
      <c r="B74" s="1">
        <v>72</v>
      </c>
      <c r="C74" s="98">
        <v>86.88</v>
      </c>
      <c r="D74" s="98">
        <v>61.332299999999996</v>
      </c>
      <c r="E74" s="98">
        <v>65.766199999999998</v>
      </c>
      <c r="F74" s="88">
        <v>37</v>
      </c>
      <c r="G74" s="108">
        <v>62.726999999999997</v>
      </c>
      <c r="H74" s="98">
        <v>-0.92119799999999996</v>
      </c>
      <c r="I74" s="81">
        <v>33</v>
      </c>
      <c r="J74" s="80">
        <f t="shared" si="2"/>
        <v>1</v>
      </c>
      <c r="K74" s="97">
        <v>62.723399999999998</v>
      </c>
      <c r="L74" s="98">
        <v>-0.92119799999999996</v>
      </c>
      <c r="M74" s="81">
        <v>6</v>
      </c>
      <c r="N74" s="80">
        <f t="shared" si="3"/>
        <v>1</v>
      </c>
    </row>
    <row r="75" spans="1:14" ht="15.75" thickBot="1" x14ac:dyDescent="0.3">
      <c r="A75" s="57"/>
      <c r="B75" s="1">
        <v>73</v>
      </c>
      <c r="C75" s="98">
        <v>-17.399999999999999</v>
      </c>
      <c r="D75" s="98">
        <v>-1.53691</v>
      </c>
      <c r="E75" s="98">
        <v>1.79434</v>
      </c>
      <c r="F75" s="88">
        <v>33</v>
      </c>
      <c r="G75" s="108">
        <v>-1.46859E-7</v>
      </c>
      <c r="H75" s="98">
        <v>-7.0180299999999999E-18</v>
      </c>
      <c r="I75" s="81">
        <v>32</v>
      </c>
      <c r="J75" s="80">
        <f t="shared" si="2"/>
        <v>0</v>
      </c>
      <c r="K75" s="97">
        <v>2.4193099999999998E-13</v>
      </c>
      <c r="L75" s="98">
        <v>-7.4493900000000001E-18</v>
      </c>
      <c r="M75" s="81">
        <v>5</v>
      </c>
      <c r="N75" s="80">
        <f t="shared" si="3"/>
        <v>0</v>
      </c>
    </row>
    <row r="76" spans="1:14" ht="15.75" thickBot="1" x14ac:dyDescent="0.3">
      <c r="A76" s="57"/>
      <c r="B76" s="1">
        <v>74</v>
      </c>
      <c r="C76" s="98">
        <v>2.69</v>
      </c>
      <c r="D76" s="98">
        <v>-0.16311700000000001</v>
      </c>
      <c r="E76" s="98">
        <v>0.33205200000000001</v>
      </c>
      <c r="F76" s="88">
        <v>14</v>
      </c>
      <c r="G76" s="108">
        <v>-3.6044600000000002E-7</v>
      </c>
      <c r="H76" s="98">
        <v>-4.8509600000000001E-18</v>
      </c>
      <c r="I76" s="81">
        <v>28</v>
      </c>
      <c r="J76" s="80">
        <f t="shared" si="2"/>
        <v>0</v>
      </c>
      <c r="K76" s="97">
        <v>2.3632199999999999E-13</v>
      </c>
      <c r="L76" s="98">
        <v>-7.4493900000000001E-18</v>
      </c>
      <c r="M76" s="81">
        <v>5</v>
      </c>
      <c r="N76" s="80">
        <f t="shared" si="3"/>
        <v>0</v>
      </c>
    </row>
    <row r="77" spans="1:14" ht="15.75" thickBot="1" x14ac:dyDescent="0.3">
      <c r="A77" s="57"/>
      <c r="B77" s="1">
        <v>75</v>
      </c>
      <c r="C77" s="98">
        <v>-44.09</v>
      </c>
      <c r="D77" s="98">
        <v>-2.9452199999999999</v>
      </c>
      <c r="E77" s="98">
        <v>5.6951799999999997</v>
      </c>
      <c r="F77" s="88">
        <v>43</v>
      </c>
      <c r="G77" s="108">
        <v>2.4252700000000001E-7</v>
      </c>
      <c r="H77" s="98">
        <v>-6.2729999999999997E-18</v>
      </c>
      <c r="I77" s="81">
        <v>34</v>
      </c>
      <c r="J77" s="80">
        <f t="shared" si="2"/>
        <v>0</v>
      </c>
      <c r="K77" s="97">
        <v>4.3208000000000001E-13</v>
      </c>
      <c r="L77" s="98">
        <v>-7.4493900000000001E-18</v>
      </c>
      <c r="M77" s="81">
        <v>5</v>
      </c>
      <c r="N77" s="80">
        <f t="shared" si="3"/>
        <v>0</v>
      </c>
    </row>
    <row r="78" spans="1:14" ht="15.75" thickBot="1" x14ac:dyDescent="0.3">
      <c r="A78" s="57"/>
      <c r="B78" s="1">
        <v>76</v>
      </c>
      <c r="C78" s="98">
        <v>-92.2</v>
      </c>
      <c r="D78" s="98">
        <v>-12.0205</v>
      </c>
      <c r="E78" s="98">
        <v>4.8172300000000003</v>
      </c>
      <c r="F78" s="88">
        <v>50</v>
      </c>
      <c r="G78" s="108">
        <v>-3.0975300000000001E-7</v>
      </c>
      <c r="H78" s="98">
        <v>-5.5304499999999997E-18</v>
      </c>
      <c r="I78" s="81">
        <v>36</v>
      </c>
      <c r="J78" s="80">
        <f t="shared" si="2"/>
        <v>0</v>
      </c>
      <c r="K78" s="97">
        <v>-3.60162</v>
      </c>
      <c r="L78" s="98">
        <v>2.5943299999999999E-4</v>
      </c>
      <c r="M78" s="81">
        <v>4</v>
      </c>
      <c r="N78" s="80">
        <f t="shared" si="3"/>
        <v>0</v>
      </c>
    </row>
    <row r="79" spans="1:14" ht="15.75" thickBot="1" x14ac:dyDescent="0.3">
      <c r="A79" s="57"/>
      <c r="B79" s="1">
        <v>77</v>
      </c>
      <c r="C79" s="98">
        <v>-80.959999999999994</v>
      </c>
      <c r="D79" s="98">
        <v>-8.0695200000000007</v>
      </c>
      <c r="E79" s="98">
        <v>7.2374900000000002</v>
      </c>
      <c r="F79" s="88">
        <v>49</v>
      </c>
      <c r="G79" s="108">
        <v>2.8318799999999998E-7</v>
      </c>
      <c r="H79" s="98">
        <v>-5.8454899999999997E-18</v>
      </c>
      <c r="I79" s="81">
        <v>36</v>
      </c>
      <c r="J79" s="80">
        <f t="shared" si="2"/>
        <v>0</v>
      </c>
      <c r="K79" s="97">
        <v>-0.416016</v>
      </c>
      <c r="L79" s="98">
        <v>3.4613799999999999E-6</v>
      </c>
      <c r="M79" s="81">
        <v>4</v>
      </c>
      <c r="N79" s="80">
        <f t="shared" si="3"/>
        <v>0</v>
      </c>
    </row>
    <row r="80" spans="1:14" ht="15.75" thickBot="1" x14ac:dyDescent="0.3">
      <c r="A80" s="57"/>
      <c r="B80" s="1">
        <v>78</v>
      </c>
      <c r="C80" s="98">
        <v>79.27</v>
      </c>
      <c r="D80" s="98">
        <v>61.820599999999999</v>
      </c>
      <c r="E80" s="98">
        <v>64.849000000000004</v>
      </c>
      <c r="F80" s="88">
        <v>33</v>
      </c>
      <c r="G80" s="108">
        <v>62.726999999999997</v>
      </c>
      <c r="H80" s="98">
        <v>-0.92119799999999996</v>
      </c>
      <c r="I80" s="81">
        <v>32</v>
      </c>
      <c r="J80" s="80">
        <f t="shared" si="2"/>
        <v>1</v>
      </c>
      <c r="K80" s="97">
        <v>62.7258</v>
      </c>
      <c r="L80" s="98">
        <v>-0.92119799999999996</v>
      </c>
      <c r="M80" s="81">
        <v>6</v>
      </c>
      <c r="N80" s="80">
        <f t="shared" si="3"/>
        <v>1</v>
      </c>
    </row>
    <row r="81" spans="1:14" ht="15.75" thickBot="1" x14ac:dyDescent="0.3">
      <c r="A81" s="57"/>
      <c r="B81" s="1">
        <v>79</v>
      </c>
      <c r="C81" s="98">
        <v>-46.44</v>
      </c>
      <c r="D81" s="98">
        <v>-5.2952199999999996</v>
      </c>
      <c r="E81" s="98">
        <v>3.34518</v>
      </c>
      <c r="F81" s="88">
        <v>43</v>
      </c>
      <c r="G81" s="108">
        <v>3.5185400000000002E-7</v>
      </c>
      <c r="H81" s="98">
        <v>-4.9733700000000001E-18</v>
      </c>
      <c r="I81" s="81">
        <v>34</v>
      </c>
      <c r="J81" s="80">
        <f t="shared" si="2"/>
        <v>0</v>
      </c>
      <c r="K81" s="97">
        <v>-0.97502100000000003</v>
      </c>
      <c r="L81" s="98">
        <v>1.90133E-5</v>
      </c>
      <c r="M81" s="81">
        <v>4</v>
      </c>
      <c r="N81" s="80">
        <f t="shared" si="3"/>
        <v>0</v>
      </c>
    </row>
    <row r="82" spans="1:14" ht="15.75" thickBot="1" x14ac:dyDescent="0.3">
      <c r="A82" s="57"/>
      <c r="B82" s="1">
        <v>80</v>
      </c>
      <c r="C82" s="98">
        <v>23.72</v>
      </c>
      <c r="D82" s="98">
        <v>-1.8276699999999999</v>
      </c>
      <c r="E82" s="98">
        <v>2.60622</v>
      </c>
      <c r="F82" s="88">
        <v>37</v>
      </c>
      <c r="G82" s="108">
        <v>3.0117100000000002E-7</v>
      </c>
      <c r="H82" s="98">
        <v>-5.6353100000000001E-18</v>
      </c>
      <c r="I82" s="81">
        <v>33</v>
      </c>
      <c r="J82" s="80">
        <f t="shared" si="2"/>
        <v>0</v>
      </c>
      <c r="K82" s="97">
        <v>2.6339599999999998E-13</v>
      </c>
      <c r="L82" s="98">
        <v>-7.4493900000000001E-18</v>
      </c>
      <c r="M82" s="81">
        <v>5</v>
      </c>
      <c r="N82" s="80">
        <f t="shared" si="3"/>
        <v>0</v>
      </c>
    </row>
    <row r="83" spans="1:14" ht="15.75" thickBot="1" x14ac:dyDescent="0.3">
      <c r="A83" s="57"/>
      <c r="B83" s="1">
        <v>81</v>
      </c>
      <c r="C83" s="98">
        <v>-26.69</v>
      </c>
      <c r="D83" s="98">
        <v>-3.4648500000000002</v>
      </c>
      <c r="E83" s="98">
        <v>1.4124399999999999</v>
      </c>
      <c r="F83" s="88">
        <v>37</v>
      </c>
      <c r="G83" s="108">
        <v>-1.3237099999999999E-7</v>
      </c>
      <c r="H83" s="98">
        <v>-7.0989500000000003E-18</v>
      </c>
      <c r="I83" s="81">
        <v>33</v>
      </c>
      <c r="J83" s="80">
        <f t="shared" si="2"/>
        <v>0</v>
      </c>
      <c r="K83" s="97">
        <v>-1.0262</v>
      </c>
      <c r="L83" s="98">
        <v>2.1061899999999999E-5</v>
      </c>
      <c r="M83" s="81">
        <v>4</v>
      </c>
      <c r="N83" s="80">
        <f t="shared" si="3"/>
        <v>0</v>
      </c>
    </row>
    <row r="84" spans="1:14" ht="15.75" thickBot="1" x14ac:dyDescent="0.3">
      <c r="A84" s="57"/>
      <c r="B84" s="1">
        <v>82</v>
      </c>
      <c r="C84" s="98">
        <v>-71</v>
      </c>
      <c r="D84" s="98">
        <v>-4.7359200000000001</v>
      </c>
      <c r="E84" s="98">
        <v>9.1795299999999997</v>
      </c>
      <c r="F84" s="88">
        <v>48</v>
      </c>
      <c r="G84" s="108">
        <v>-8.1030200000000003E-8</v>
      </c>
      <c r="H84" s="98">
        <v>-7.3180700000000004E-18</v>
      </c>
      <c r="I84" s="81">
        <v>35</v>
      </c>
      <c r="J84" s="80">
        <f t="shared" si="2"/>
        <v>0</v>
      </c>
      <c r="K84" s="97">
        <v>8.1843600000000001E-13</v>
      </c>
      <c r="L84" s="98">
        <v>-7.4493900000000001E-18</v>
      </c>
      <c r="M84" s="81">
        <v>5</v>
      </c>
      <c r="N84" s="80">
        <f t="shared" si="3"/>
        <v>0</v>
      </c>
    </row>
    <row r="85" spans="1:14" ht="15.75" thickBot="1" x14ac:dyDescent="0.3">
      <c r="A85" s="57"/>
      <c r="B85" s="1">
        <v>83</v>
      </c>
      <c r="C85" s="98">
        <v>-3.11</v>
      </c>
      <c r="D85" s="98">
        <v>-0.25688299999999997</v>
      </c>
      <c r="E85" s="98">
        <v>0.34227099999999999</v>
      </c>
      <c r="F85" s="88">
        <v>15</v>
      </c>
      <c r="G85" s="108">
        <v>-2.2709700000000001E-7</v>
      </c>
      <c r="H85" s="98">
        <v>-6.4179199999999998E-18</v>
      </c>
      <c r="I85" s="81">
        <v>29</v>
      </c>
      <c r="J85" s="80">
        <f t="shared" si="2"/>
        <v>0</v>
      </c>
      <c r="K85" s="97">
        <v>2.3894100000000001E-13</v>
      </c>
      <c r="L85" s="98">
        <v>-7.4493900000000001E-18</v>
      </c>
      <c r="M85" s="81">
        <v>5</v>
      </c>
      <c r="N85" s="80">
        <f t="shared" si="3"/>
        <v>0</v>
      </c>
    </row>
    <row r="86" spans="1:14" ht="15.75" thickBot="1" x14ac:dyDescent="0.3">
      <c r="A86" s="57"/>
      <c r="B86" s="1">
        <v>84</v>
      </c>
      <c r="C86" s="98">
        <v>-24.93</v>
      </c>
      <c r="D86" s="98">
        <v>-1.70485</v>
      </c>
      <c r="E86" s="98">
        <v>3.1724399999999999</v>
      </c>
      <c r="F86" s="88">
        <v>37</v>
      </c>
      <c r="G86" s="108">
        <v>-1.88659E-7</v>
      </c>
      <c r="H86" s="98">
        <v>-6.7375400000000003E-18</v>
      </c>
      <c r="I86" s="81">
        <v>33</v>
      </c>
      <c r="J86" s="80">
        <f t="shared" si="2"/>
        <v>0</v>
      </c>
      <c r="K86" s="97">
        <v>2.94124E-13</v>
      </c>
      <c r="L86" s="98">
        <v>-7.4493900000000001E-18</v>
      </c>
      <c r="M86" s="81">
        <v>5</v>
      </c>
      <c r="N86" s="80">
        <f t="shared" si="3"/>
        <v>0</v>
      </c>
    </row>
    <row r="87" spans="1:14" ht="15.75" thickBot="1" x14ac:dyDescent="0.3">
      <c r="A87" s="57"/>
      <c r="B87" s="1">
        <v>85</v>
      </c>
      <c r="C87" s="98">
        <v>26.32</v>
      </c>
      <c r="D87" s="98">
        <v>-1.78244</v>
      </c>
      <c r="E87" s="98">
        <v>3.0948500000000001</v>
      </c>
      <c r="F87" s="88">
        <v>38</v>
      </c>
      <c r="G87" s="108">
        <v>1.7821899999999999E-7</v>
      </c>
      <c r="H87" s="98">
        <v>-6.8141500000000001E-18</v>
      </c>
      <c r="I87" s="81">
        <v>33</v>
      </c>
      <c r="J87" s="80">
        <f t="shared" si="2"/>
        <v>0</v>
      </c>
      <c r="K87" s="97">
        <v>2.8776699999999998E-13</v>
      </c>
      <c r="L87" s="98">
        <v>-7.4493900000000001E-18</v>
      </c>
      <c r="M87" s="81">
        <v>5</v>
      </c>
      <c r="N87" s="80">
        <f t="shared" si="3"/>
        <v>0</v>
      </c>
    </row>
    <row r="88" spans="1:14" ht="15.75" thickBot="1" x14ac:dyDescent="0.3">
      <c r="A88" s="57"/>
      <c r="B88" s="1">
        <v>86</v>
      </c>
      <c r="C88" s="98">
        <v>-47.23</v>
      </c>
      <c r="D88" s="98">
        <v>-6.0852199999999996</v>
      </c>
      <c r="E88" s="98">
        <v>2.55518</v>
      </c>
      <c r="F88" s="88">
        <v>43</v>
      </c>
      <c r="G88" s="108">
        <v>-1.9712899999999999E-7</v>
      </c>
      <c r="H88" s="98">
        <v>-6.6721900000000001E-18</v>
      </c>
      <c r="I88" s="81">
        <v>34</v>
      </c>
      <c r="J88" s="80">
        <f t="shared" si="2"/>
        <v>0</v>
      </c>
      <c r="K88" s="97">
        <v>-1.76502</v>
      </c>
      <c r="L88" s="98">
        <v>6.2305999999999996E-5</v>
      </c>
      <c r="M88" s="81">
        <v>4</v>
      </c>
      <c r="N88" s="80">
        <f t="shared" si="3"/>
        <v>0</v>
      </c>
    </row>
    <row r="89" spans="1:14" ht="15.75" thickBot="1" x14ac:dyDescent="0.3">
      <c r="A89" s="57"/>
      <c r="B89" s="1">
        <v>87</v>
      </c>
      <c r="C89" s="98">
        <v>-16.16</v>
      </c>
      <c r="D89" s="98">
        <v>-1.7390099999999999</v>
      </c>
      <c r="E89" s="98">
        <v>1.2894000000000001</v>
      </c>
      <c r="F89" s="88">
        <v>32</v>
      </c>
      <c r="G89" s="108">
        <v>-2.1374699999999999E-7</v>
      </c>
      <c r="H89" s="98">
        <v>-6.5356300000000001E-18</v>
      </c>
      <c r="I89" s="81">
        <v>32</v>
      </c>
      <c r="J89" s="80">
        <f t="shared" si="2"/>
        <v>0</v>
      </c>
      <c r="K89" s="97">
        <v>-0.224802</v>
      </c>
      <c r="L89" s="98">
        <v>1.01072E-6</v>
      </c>
      <c r="M89" s="81">
        <v>4</v>
      </c>
      <c r="N89" s="80">
        <f t="shared" si="3"/>
        <v>0</v>
      </c>
    </row>
    <row r="90" spans="1:14" ht="15.75" thickBot="1" x14ac:dyDescent="0.3">
      <c r="A90" s="57"/>
      <c r="B90" s="1">
        <v>88</v>
      </c>
      <c r="C90" s="98">
        <v>-57.63</v>
      </c>
      <c r="D90" s="98">
        <v>-2.8662999999999998</v>
      </c>
      <c r="E90" s="98">
        <v>8.6340800000000009</v>
      </c>
      <c r="F90" s="88">
        <v>46</v>
      </c>
      <c r="G90" s="108">
        <v>6.4559099999999995E-8</v>
      </c>
      <c r="H90" s="98">
        <v>-7.3660299999999999E-18</v>
      </c>
      <c r="I90" s="81">
        <v>35</v>
      </c>
      <c r="J90" s="80">
        <f t="shared" si="2"/>
        <v>0</v>
      </c>
      <c r="K90" s="97">
        <v>2.88888E-13</v>
      </c>
      <c r="L90" s="98">
        <v>-7.4493900000000001E-18</v>
      </c>
      <c r="M90" s="81">
        <v>5</v>
      </c>
      <c r="N90" s="80">
        <f t="shared" si="3"/>
        <v>0</v>
      </c>
    </row>
    <row r="91" spans="1:14" ht="15.75" thickBot="1" x14ac:dyDescent="0.3">
      <c r="A91" s="57"/>
      <c r="B91" s="1">
        <v>89</v>
      </c>
      <c r="C91" s="98">
        <v>26.28</v>
      </c>
      <c r="D91" s="98">
        <v>-1.8224400000000001</v>
      </c>
      <c r="E91" s="98">
        <v>3.0548500000000001</v>
      </c>
      <c r="F91" s="88">
        <v>38</v>
      </c>
      <c r="G91" s="108">
        <v>1.6006099999999999E-7</v>
      </c>
      <c r="H91" s="98">
        <v>-6.9370000000000001E-18</v>
      </c>
      <c r="I91" s="81">
        <v>33</v>
      </c>
      <c r="J91" s="80">
        <f t="shared" si="2"/>
        <v>0</v>
      </c>
      <c r="K91" s="97">
        <v>2.8450500000000001E-13</v>
      </c>
      <c r="L91" s="98">
        <v>-7.4493900000000001E-18</v>
      </c>
      <c r="M91" s="81">
        <v>5</v>
      </c>
      <c r="N91" s="80">
        <f t="shared" si="3"/>
        <v>0</v>
      </c>
    </row>
    <row r="92" spans="1:14" ht="15.75" thickBot="1" x14ac:dyDescent="0.3">
      <c r="A92" s="57"/>
      <c r="B92" s="1">
        <v>90</v>
      </c>
      <c r="C92" s="98">
        <v>47.91</v>
      </c>
      <c r="D92" s="98">
        <v>61.02</v>
      </c>
      <c r="E92" s="98">
        <v>63.773099999999999</v>
      </c>
      <c r="F92" s="88">
        <v>31</v>
      </c>
      <c r="G92" s="108">
        <v>62.726999999999997</v>
      </c>
      <c r="H92" s="98">
        <v>-0.92119799999999996</v>
      </c>
      <c r="I92" s="81">
        <v>32</v>
      </c>
      <c r="J92" s="80">
        <f t="shared" si="2"/>
        <v>1</v>
      </c>
      <c r="K92" s="97">
        <v>62.396500000000003</v>
      </c>
      <c r="L92" s="98">
        <v>-0.91956099999999996</v>
      </c>
      <c r="M92" s="81">
        <v>4</v>
      </c>
      <c r="N92" s="80">
        <f t="shared" si="3"/>
        <v>1</v>
      </c>
    </row>
    <row r="93" spans="1:14" ht="15.75" thickBot="1" x14ac:dyDescent="0.3">
      <c r="A93" s="57"/>
      <c r="B93" s="1">
        <v>91</v>
      </c>
      <c r="C93" s="98">
        <v>-17.989999999999998</v>
      </c>
      <c r="D93" s="98">
        <v>-2.1269100000000001</v>
      </c>
      <c r="E93" s="98">
        <v>1.20434</v>
      </c>
      <c r="F93" s="88">
        <v>33</v>
      </c>
      <c r="G93" s="108">
        <v>2.82738E-7</v>
      </c>
      <c r="H93" s="98">
        <v>-5.8505700000000003E-18</v>
      </c>
      <c r="I93" s="81">
        <v>32</v>
      </c>
      <c r="J93" s="80">
        <f t="shared" si="2"/>
        <v>0</v>
      </c>
      <c r="K93" s="97">
        <v>-0.46128200000000003</v>
      </c>
      <c r="L93" s="98">
        <v>4.2556299999999999E-6</v>
      </c>
      <c r="M93" s="81">
        <v>4</v>
      </c>
      <c r="N93" s="80">
        <f t="shared" si="3"/>
        <v>0</v>
      </c>
    </row>
    <row r="94" spans="1:14" ht="15.75" thickBot="1" x14ac:dyDescent="0.3">
      <c r="A94" s="57"/>
      <c r="B94" s="1">
        <v>92</v>
      </c>
      <c r="C94" s="98">
        <v>51.07</v>
      </c>
      <c r="D94" s="98">
        <v>61.904699999999998</v>
      </c>
      <c r="E94" s="98">
        <v>64.180000000000007</v>
      </c>
      <c r="F94" s="88">
        <v>29</v>
      </c>
      <c r="G94" s="108">
        <v>62.726999999999997</v>
      </c>
      <c r="H94" s="98">
        <v>-0.92119799999999996</v>
      </c>
      <c r="I94" s="81">
        <v>32</v>
      </c>
      <c r="J94" s="80">
        <f t="shared" si="2"/>
        <v>1</v>
      </c>
      <c r="K94" s="97">
        <v>62.726199999999999</v>
      </c>
      <c r="L94" s="98">
        <v>-0.92119799999999996</v>
      </c>
      <c r="M94" s="81">
        <v>6</v>
      </c>
      <c r="N94" s="80">
        <f t="shared" si="3"/>
        <v>1</v>
      </c>
    </row>
    <row r="95" spans="1:14" ht="15.75" thickBot="1" x14ac:dyDescent="0.3">
      <c r="A95" s="57"/>
      <c r="B95" s="1">
        <v>93</v>
      </c>
      <c r="C95" s="98">
        <v>-62.18</v>
      </c>
      <c r="D95" s="98">
        <v>-7.4162999999999997</v>
      </c>
      <c r="E95" s="98">
        <v>4.0840800000000002</v>
      </c>
      <c r="F95" s="88">
        <v>46</v>
      </c>
      <c r="G95" s="108">
        <v>3.2614599999999999E-7</v>
      </c>
      <c r="H95" s="98">
        <v>-5.3219699999999999E-18</v>
      </c>
      <c r="I95" s="81">
        <v>35</v>
      </c>
      <c r="J95" s="80">
        <f t="shared" si="2"/>
        <v>0</v>
      </c>
      <c r="K95" s="97">
        <v>-1.66611</v>
      </c>
      <c r="L95" s="98">
        <v>5.5518600000000001E-5</v>
      </c>
      <c r="M95" s="81">
        <v>4</v>
      </c>
      <c r="N95" s="80">
        <f t="shared" si="3"/>
        <v>0</v>
      </c>
    </row>
    <row r="96" spans="1:14" ht="15.75" thickBot="1" x14ac:dyDescent="0.3">
      <c r="A96" s="57"/>
      <c r="B96" s="1">
        <v>94</v>
      </c>
      <c r="C96" s="98">
        <v>90.91</v>
      </c>
      <c r="D96" s="98">
        <v>59.997300000000003</v>
      </c>
      <c r="E96" s="98">
        <v>65.362300000000005</v>
      </c>
      <c r="F96" s="88">
        <v>39</v>
      </c>
      <c r="G96" s="108">
        <v>62.726999999999997</v>
      </c>
      <c r="H96" s="98">
        <v>-0.92119799999999996</v>
      </c>
      <c r="I96" s="81">
        <v>33</v>
      </c>
      <c r="J96" s="80">
        <f t="shared" si="2"/>
        <v>1</v>
      </c>
      <c r="K96" s="97">
        <v>62.6798</v>
      </c>
      <c r="L96" s="98">
        <v>-0.92116500000000001</v>
      </c>
      <c r="M96" s="81">
        <v>4</v>
      </c>
      <c r="N96" s="80">
        <f t="shared" si="3"/>
        <v>1</v>
      </c>
    </row>
    <row r="97" spans="1:14" ht="15.75" thickBot="1" x14ac:dyDescent="0.3">
      <c r="A97" s="57"/>
      <c r="B97" s="1">
        <v>95</v>
      </c>
      <c r="C97" s="98">
        <v>-96.2</v>
      </c>
      <c r="D97" s="98">
        <v>-8.0025099999999991</v>
      </c>
      <c r="E97" s="98">
        <v>10.519</v>
      </c>
      <c r="F97" s="88">
        <v>51</v>
      </c>
      <c r="G97" s="108">
        <v>1.2996999999999999E-7</v>
      </c>
      <c r="H97" s="98">
        <v>-7.11154E-18</v>
      </c>
      <c r="I97" s="81">
        <v>36</v>
      </c>
      <c r="J97" s="80">
        <f t="shared" si="2"/>
        <v>0</v>
      </c>
      <c r="K97" s="97">
        <v>4.81974E-13</v>
      </c>
      <c r="L97" s="98">
        <v>-7.4493900000000001E-18</v>
      </c>
      <c r="M97" s="81">
        <v>5</v>
      </c>
      <c r="N97" s="80">
        <f t="shared" si="3"/>
        <v>0</v>
      </c>
    </row>
    <row r="98" spans="1:14" ht="15.75" thickBot="1" x14ac:dyDescent="0.3">
      <c r="A98" s="57"/>
      <c r="B98" s="1">
        <v>96</v>
      </c>
      <c r="C98" s="98">
        <v>20.69</v>
      </c>
      <c r="D98" s="98">
        <v>-2.5351499999999998</v>
      </c>
      <c r="E98" s="98">
        <v>1.49566</v>
      </c>
      <c r="F98" s="88">
        <v>36</v>
      </c>
      <c r="G98" s="108">
        <v>1.5816400000000001E-7</v>
      </c>
      <c r="H98" s="98">
        <v>-6.9490700000000003E-18</v>
      </c>
      <c r="I98" s="81">
        <v>33</v>
      </c>
      <c r="J98" s="80">
        <f t="shared" si="2"/>
        <v>0</v>
      </c>
      <c r="K98" s="97">
        <v>-0.51974799999999999</v>
      </c>
      <c r="L98" s="98">
        <v>5.4027699999999998E-6</v>
      </c>
      <c r="M98" s="81">
        <v>4</v>
      </c>
      <c r="N98" s="80">
        <f t="shared" si="3"/>
        <v>0</v>
      </c>
    </row>
    <row r="99" spans="1:14" ht="15.75" thickBot="1" x14ac:dyDescent="0.3">
      <c r="A99" s="57"/>
      <c r="B99" s="1">
        <v>97</v>
      </c>
      <c r="C99" s="98">
        <v>8.3000000000000007</v>
      </c>
      <c r="D99" s="98">
        <v>-0.65430200000000005</v>
      </c>
      <c r="E99" s="98">
        <v>0.89975000000000005</v>
      </c>
      <c r="F99" s="88">
        <v>26</v>
      </c>
      <c r="G99" s="108">
        <v>-2.6077100000000001E-8</v>
      </c>
      <c r="H99" s="98">
        <v>-7.4357900000000004E-18</v>
      </c>
      <c r="I99" s="81">
        <v>31</v>
      </c>
      <c r="J99" s="80">
        <f t="shared" si="2"/>
        <v>0</v>
      </c>
      <c r="K99" s="97">
        <v>2.3793499999999999E-13</v>
      </c>
      <c r="L99" s="98">
        <v>-7.4493900000000001E-18</v>
      </c>
      <c r="M99" s="81">
        <v>5</v>
      </c>
      <c r="N99" s="80">
        <f t="shared" si="3"/>
        <v>0</v>
      </c>
    </row>
    <row r="100" spans="1:14" ht="15.75" thickBot="1" x14ac:dyDescent="0.3">
      <c r="A100" s="57"/>
      <c r="B100" s="1">
        <v>98</v>
      </c>
      <c r="C100" s="98">
        <v>-75.790000000000006</v>
      </c>
      <c r="D100" s="98">
        <v>-9.5259199999999993</v>
      </c>
      <c r="E100" s="98">
        <v>4.3895299999999997</v>
      </c>
      <c r="F100" s="88">
        <v>48</v>
      </c>
      <c r="G100" s="108">
        <v>-1.69704E-7</v>
      </c>
      <c r="H100" s="98">
        <v>-6.8734E-18</v>
      </c>
      <c r="I100" s="81">
        <v>35</v>
      </c>
      <c r="J100" s="80">
        <f t="shared" si="2"/>
        <v>0</v>
      </c>
      <c r="K100" s="97">
        <v>-2.5682</v>
      </c>
      <c r="L100" s="98">
        <v>1.31913E-4</v>
      </c>
      <c r="M100" s="81">
        <v>4</v>
      </c>
      <c r="N100" s="80">
        <f t="shared" si="3"/>
        <v>0</v>
      </c>
    </row>
    <row r="101" spans="1:14" ht="15.75" thickBot="1" x14ac:dyDescent="0.3">
      <c r="A101" s="57"/>
      <c r="B101" s="1">
        <v>99</v>
      </c>
      <c r="C101" s="98">
        <v>-6.1</v>
      </c>
      <c r="D101" s="98">
        <v>-0.54008299999999998</v>
      </c>
      <c r="E101" s="98">
        <v>0.62749999999999995</v>
      </c>
      <c r="F101" s="88">
        <v>22</v>
      </c>
      <c r="G101" s="108">
        <v>2.4483099999999998E-7</v>
      </c>
      <c r="H101" s="98">
        <v>-6.2505399999999997E-18</v>
      </c>
      <c r="I101" s="81">
        <v>30</v>
      </c>
      <c r="J101" s="80">
        <f t="shared" si="2"/>
        <v>0</v>
      </c>
      <c r="K101" s="97">
        <v>2.54356E-13</v>
      </c>
      <c r="L101" s="98">
        <v>-7.4493900000000001E-18</v>
      </c>
      <c r="M101" s="81">
        <v>5</v>
      </c>
      <c r="N101" s="80">
        <f t="shared" si="3"/>
        <v>0</v>
      </c>
    </row>
    <row r="102" spans="1:14" ht="15.75" thickBot="1" x14ac:dyDescent="0.3">
      <c r="A102" s="58"/>
      <c r="B102" s="3">
        <v>100</v>
      </c>
      <c r="C102" s="100">
        <v>-30.48</v>
      </c>
      <c r="D102" s="100">
        <v>-2.3775599999999999</v>
      </c>
      <c r="E102" s="100">
        <v>3.5239500000000001</v>
      </c>
      <c r="F102" s="89">
        <v>39</v>
      </c>
      <c r="G102" s="109">
        <v>9.9660099999999999E-8</v>
      </c>
      <c r="H102" s="100">
        <v>-7.25074E-18</v>
      </c>
      <c r="I102" s="82">
        <v>34</v>
      </c>
      <c r="J102" s="80">
        <f t="shared" si="2"/>
        <v>0</v>
      </c>
      <c r="K102" s="99">
        <v>2.8789199999999999E-13</v>
      </c>
      <c r="L102" s="100">
        <v>-7.4493900000000001E-18</v>
      </c>
      <c r="M102" s="82">
        <v>5</v>
      </c>
      <c r="N102" s="80">
        <f t="shared" si="3"/>
        <v>0</v>
      </c>
    </row>
    <row r="103" spans="1:14" ht="15.75" thickBot="1" x14ac:dyDescent="0.3">
      <c r="A103" s="59"/>
      <c r="B103" s="5">
        <v>1</v>
      </c>
      <c r="C103" s="104">
        <v>-45.96</v>
      </c>
      <c r="D103" s="104">
        <v>-20.331099999999999</v>
      </c>
      <c r="E103" s="104">
        <v>11.705</v>
      </c>
      <c r="F103" s="90">
        <v>12</v>
      </c>
      <c r="G103" s="110">
        <v>-7.2396699999999993E-8</v>
      </c>
      <c r="H103" s="104">
        <v>-7.3445599999999997E-18</v>
      </c>
      <c r="I103" s="83">
        <v>37</v>
      </c>
      <c r="J103" s="80">
        <f t="shared" si="2"/>
        <v>0</v>
      </c>
      <c r="K103" s="103">
        <v>-4.3130300000000004</v>
      </c>
      <c r="L103" s="104">
        <v>3.7204399999999998E-4</v>
      </c>
      <c r="M103" s="83">
        <v>4</v>
      </c>
      <c r="N103" s="80">
        <f t="shared" si="3"/>
        <v>0</v>
      </c>
    </row>
    <row r="104" spans="1:14" ht="15.75" thickBot="1" x14ac:dyDescent="0.3">
      <c r="A104" s="57"/>
      <c r="B104" s="1">
        <v>2</v>
      </c>
      <c r="C104" s="98">
        <v>21.35</v>
      </c>
      <c r="D104" s="98">
        <v>-4.2789099999999998</v>
      </c>
      <c r="E104" s="98">
        <v>9.9593699999999998</v>
      </c>
      <c r="F104" s="88">
        <v>11</v>
      </c>
      <c r="G104" s="108">
        <v>-2.1474700000000001E-7</v>
      </c>
      <c r="H104" s="98">
        <v>-6.52706E-18</v>
      </c>
      <c r="I104" s="81">
        <v>35</v>
      </c>
      <c r="J104" s="80">
        <f t="shared" si="2"/>
        <v>0</v>
      </c>
      <c r="K104" s="97">
        <v>1.21454E-12</v>
      </c>
      <c r="L104" s="98">
        <v>-7.4493900000000001E-18</v>
      </c>
      <c r="M104" s="81">
        <v>5</v>
      </c>
      <c r="N104" s="80">
        <f t="shared" si="3"/>
        <v>0</v>
      </c>
    </row>
    <row r="105" spans="1:14" ht="15.75" thickBot="1" x14ac:dyDescent="0.3">
      <c r="A105" s="57"/>
      <c r="B105" s="1">
        <v>3</v>
      </c>
      <c r="C105" s="98">
        <v>0.15</v>
      </c>
      <c r="D105" s="98">
        <v>-0.85</v>
      </c>
      <c r="E105" s="98">
        <v>-0.85</v>
      </c>
      <c r="F105" s="88">
        <v>3</v>
      </c>
      <c r="G105" s="108">
        <v>-0.85</v>
      </c>
      <c r="H105" s="98">
        <v>1.4450000000000001E-5</v>
      </c>
      <c r="I105" s="81">
        <v>2</v>
      </c>
      <c r="J105" s="80">
        <f t="shared" si="2"/>
        <v>0</v>
      </c>
      <c r="K105" s="97">
        <v>-0.85</v>
      </c>
      <c r="L105" s="98">
        <v>1.4450000000000001E-5</v>
      </c>
      <c r="M105" s="81">
        <v>3</v>
      </c>
      <c r="N105" s="80">
        <f t="shared" si="3"/>
        <v>0</v>
      </c>
    </row>
    <row r="106" spans="1:14" ht="15.75" thickBot="1" x14ac:dyDescent="0.3">
      <c r="A106" s="57"/>
      <c r="B106" s="1">
        <v>4</v>
      </c>
      <c r="C106" s="98">
        <v>95.44</v>
      </c>
      <c r="D106" s="98">
        <v>37.774999999999999</v>
      </c>
      <c r="E106" s="98">
        <v>69.811099999999996</v>
      </c>
      <c r="F106" s="88">
        <v>13</v>
      </c>
      <c r="G106" s="108">
        <v>62.726999999999997</v>
      </c>
      <c r="H106" s="98">
        <v>-0.92119799999999996</v>
      </c>
      <c r="I106" s="81">
        <v>37</v>
      </c>
      <c r="J106" s="80">
        <f t="shared" si="2"/>
        <v>1</v>
      </c>
      <c r="K106" s="97">
        <v>53.792999999999999</v>
      </c>
      <c r="L106" s="98">
        <v>-0.21695400000000001</v>
      </c>
      <c r="M106" s="81">
        <v>4</v>
      </c>
      <c r="N106" s="80">
        <f t="shared" si="3"/>
        <v>0</v>
      </c>
    </row>
    <row r="107" spans="1:14" ht="15.75" thickBot="1" x14ac:dyDescent="0.3">
      <c r="A107" s="57"/>
      <c r="B107" s="1">
        <v>5</v>
      </c>
      <c r="C107" s="98">
        <v>-77.34</v>
      </c>
      <c r="D107" s="98">
        <v>9.1575600000000001</v>
      </c>
      <c r="E107" s="98">
        <v>117.28</v>
      </c>
      <c r="F107" s="88">
        <v>15</v>
      </c>
      <c r="G107" s="108">
        <v>62.726999999999997</v>
      </c>
      <c r="H107" s="98">
        <v>-0.92119799999999996</v>
      </c>
      <c r="I107" s="81">
        <v>40</v>
      </c>
      <c r="J107" s="80">
        <f t="shared" si="2"/>
        <v>1</v>
      </c>
      <c r="K107" s="97">
        <v>63.218499999999999</v>
      </c>
      <c r="L107" s="98">
        <v>-0.91757200000000005</v>
      </c>
      <c r="M107" s="81">
        <v>5</v>
      </c>
      <c r="N107" s="80">
        <f t="shared" si="3"/>
        <v>1</v>
      </c>
    </row>
    <row r="108" spans="1:14" ht="15.75" thickBot="1" x14ac:dyDescent="0.3">
      <c r="A108" s="57"/>
      <c r="B108" s="1">
        <v>6</v>
      </c>
      <c r="C108" s="98">
        <v>7.19</v>
      </c>
      <c r="D108" s="98">
        <v>-4.2006300000000003</v>
      </c>
      <c r="E108" s="98">
        <v>2.1274999999999999</v>
      </c>
      <c r="F108" s="88">
        <v>9</v>
      </c>
      <c r="G108" s="108">
        <v>-3.4882299999999997E-8</v>
      </c>
      <c r="H108" s="98">
        <v>-7.4250500000000004E-18</v>
      </c>
      <c r="I108" s="81">
        <v>34</v>
      </c>
      <c r="J108" s="80">
        <f t="shared" si="2"/>
        <v>0</v>
      </c>
      <c r="K108" s="97">
        <v>-1.0365599999999999</v>
      </c>
      <c r="L108" s="98">
        <v>2.1489200000000001E-5</v>
      </c>
      <c r="M108" s="81">
        <v>4</v>
      </c>
      <c r="N108" s="80">
        <f t="shared" si="3"/>
        <v>0</v>
      </c>
    </row>
    <row r="109" spans="1:14" ht="15.75" thickBot="1" x14ac:dyDescent="0.3">
      <c r="A109" s="57"/>
      <c r="B109" s="1">
        <v>7</v>
      </c>
      <c r="C109" s="98">
        <v>-3.65</v>
      </c>
      <c r="D109" s="98">
        <v>-1.4</v>
      </c>
      <c r="E109" s="98">
        <v>1.4125000000000001</v>
      </c>
      <c r="F109" s="88">
        <v>6</v>
      </c>
      <c r="G109" s="108">
        <v>3.1564100000000001E-7</v>
      </c>
      <c r="H109" s="98">
        <v>-5.4568099999999999E-18</v>
      </c>
      <c r="I109" s="81">
        <v>32</v>
      </c>
      <c r="J109" s="80">
        <f t="shared" si="2"/>
        <v>0</v>
      </c>
      <c r="K109" s="97">
        <v>2.34262E-13</v>
      </c>
      <c r="L109" s="98">
        <v>-7.4493900000000001E-18</v>
      </c>
      <c r="M109" s="81">
        <v>5</v>
      </c>
      <c r="N109" s="80">
        <f t="shared" si="3"/>
        <v>0</v>
      </c>
    </row>
    <row r="110" spans="1:14" ht="15.75" thickBot="1" x14ac:dyDescent="0.3">
      <c r="A110" s="57"/>
      <c r="B110" s="1">
        <v>8</v>
      </c>
      <c r="C110" s="98">
        <v>57.6</v>
      </c>
      <c r="D110" s="98">
        <v>60.975000000000001</v>
      </c>
      <c r="E110" s="98">
        <v>65.193700000000007</v>
      </c>
      <c r="F110" s="88">
        <v>7</v>
      </c>
      <c r="G110" s="108">
        <v>62.726999999999997</v>
      </c>
      <c r="H110" s="98">
        <v>-0.92119799999999996</v>
      </c>
      <c r="I110" s="81">
        <v>33</v>
      </c>
      <c r="J110" s="80">
        <f t="shared" si="2"/>
        <v>1</v>
      </c>
      <c r="K110" s="97">
        <v>62.723199999999999</v>
      </c>
      <c r="L110" s="98">
        <v>-0.92119799999999996</v>
      </c>
      <c r="M110" s="81">
        <v>6</v>
      </c>
      <c r="N110" s="80">
        <f t="shared" si="3"/>
        <v>1</v>
      </c>
    </row>
    <row r="111" spans="1:14" ht="15.75" thickBot="1" x14ac:dyDescent="0.3">
      <c r="A111" s="57"/>
      <c r="B111" s="1">
        <v>9</v>
      </c>
      <c r="C111" s="98">
        <v>-64.03</v>
      </c>
      <c r="D111" s="98">
        <v>-25.586600000000001</v>
      </c>
      <c r="E111" s="98">
        <v>22.467600000000001</v>
      </c>
      <c r="F111" s="88">
        <v>13</v>
      </c>
      <c r="G111" s="108">
        <v>-8.6044300000000002E-8</v>
      </c>
      <c r="H111" s="98">
        <v>-7.3013099999999996E-18</v>
      </c>
      <c r="I111" s="81">
        <v>38</v>
      </c>
      <c r="J111" s="80">
        <f t="shared" si="2"/>
        <v>0</v>
      </c>
      <c r="K111" s="97">
        <v>-1.5595399999999999</v>
      </c>
      <c r="L111" s="98">
        <v>4.8643400000000003E-5</v>
      </c>
      <c r="M111" s="81">
        <v>4</v>
      </c>
      <c r="N111" s="80">
        <f t="shared" si="3"/>
        <v>0</v>
      </c>
    </row>
    <row r="112" spans="1:14" ht="15.75" thickBot="1" x14ac:dyDescent="0.3">
      <c r="A112" s="57"/>
      <c r="B112" s="1">
        <v>10</v>
      </c>
      <c r="C112" s="98">
        <v>-0.5</v>
      </c>
      <c r="D112" s="98">
        <v>-0.5</v>
      </c>
      <c r="E112" s="98">
        <v>0.5</v>
      </c>
      <c r="F112" s="88">
        <v>2</v>
      </c>
      <c r="G112" s="108">
        <v>3.7139699999999997E-7</v>
      </c>
      <c r="H112" s="98">
        <v>-4.6906799999999998E-18</v>
      </c>
      <c r="I112" s="81">
        <v>30</v>
      </c>
      <c r="J112" s="80">
        <f t="shared" si="2"/>
        <v>0</v>
      </c>
      <c r="K112" s="97">
        <v>0</v>
      </c>
      <c r="L112" s="98">
        <v>-7.4493900000000001E-18</v>
      </c>
      <c r="M112" s="81">
        <v>4</v>
      </c>
      <c r="N112" s="80">
        <f t="shared" si="3"/>
        <v>0</v>
      </c>
    </row>
    <row r="113" spans="1:14" ht="15.75" thickBot="1" x14ac:dyDescent="0.3">
      <c r="A113" s="57"/>
      <c r="B113" s="1">
        <v>11</v>
      </c>
      <c r="C113" s="98">
        <v>-88.79</v>
      </c>
      <c r="D113" s="98">
        <v>-31.125</v>
      </c>
      <c r="E113" s="98">
        <v>40.956299999999999</v>
      </c>
      <c r="F113" s="88">
        <v>14</v>
      </c>
      <c r="G113" s="108">
        <v>1.96977E-7</v>
      </c>
      <c r="H113" s="98">
        <v>-6.6733899999999997E-18</v>
      </c>
      <c r="I113" s="81">
        <v>39</v>
      </c>
      <c r="J113" s="80">
        <f t="shared" si="2"/>
        <v>0</v>
      </c>
      <c r="K113" s="97">
        <v>-1.1289199999999999</v>
      </c>
      <c r="L113" s="98">
        <v>2.5488999999999999E-5</v>
      </c>
      <c r="M113" s="81">
        <v>5</v>
      </c>
      <c r="N113" s="80">
        <f t="shared" si="3"/>
        <v>0</v>
      </c>
    </row>
    <row r="114" spans="1:14" ht="15.75" thickBot="1" x14ac:dyDescent="0.3">
      <c r="A114" s="57"/>
      <c r="B114" s="1">
        <v>12</v>
      </c>
      <c r="C114" s="98">
        <v>-12.57</v>
      </c>
      <c r="D114" s="98">
        <v>-4.9762500000000003</v>
      </c>
      <c r="E114" s="98">
        <v>4.5159399999999996</v>
      </c>
      <c r="F114" s="88">
        <v>9</v>
      </c>
      <c r="G114" s="108">
        <v>2.8821399999999999E-8</v>
      </c>
      <c r="H114" s="98">
        <v>-7.4327700000000002E-18</v>
      </c>
      <c r="I114" s="81">
        <v>35</v>
      </c>
      <c r="J114" s="80">
        <f t="shared" si="2"/>
        <v>0</v>
      </c>
      <c r="K114" s="97">
        <v>-0.230156</v>
      </c>
      <c r="L114" s="98">
        <v>1.05944E-6</v>
      </c>
      <c r="M114" s="81">
        <v>4</v>
      </c>
      <c r="N114" s="80">
        <f t="shared" si="3"/>
        <v>0</v>
      </c>
    </row>
    <row r="115" spans="1:14" ht="15.75" thickBot="1" x14ac:dyDescent="0.3">
      <c r="A115" s="57"/>
      <c r="B115" s="1">
        <v>13</v>
      </c>
      <c r="C115" s="98">
        <v>6.16</v>
      </c>
      <c r="D115" s="98">
        <v>-1.4337500000000001</v>
      </c>
      <c r="E115" s="98">
        <v>2.7850000000000001</v>
      </c>
      <c r="F115" s="88">
        <v>8</v>
      </c>
      <c r="G115" s="108">
        <v>2.16118E-7</v>
      </c>
      <c r="H115" s="98">
        <v>-6.5152400000000003E-18</v>
      </c>
      <c r="I115" s="81">
        <v>33</v>
      </c>
      <c r="J115" s="80">
        <f t="shared" si="2"/>
        <v>0</v>
      </c>
      <c r="K115" s="97">
        <v>2.8225899999999998E-13</v>
      </c>
      <c r="L115" s="98">
        <v>-7.4493900000000001E-18</v>
      </c>
      <c r="M115" s="81">
        <v>5</v>
      </c>
      <c r="N115" s="80">
        <f t="shared" si="3"/>
        <v>0</v>
      </c>
    </row>
    <row r="116" spans="1:14" ht="15.75" thickBot="1" x14ac:dyDescent="0.3">
      <c r="A116" s="57"/>
      <c r="B116" s="1">
        <v>14</v>
      </c>
      <c r="C116" s="98">
        <v>-38.78</v>
      </c>
      <c r="D116" s="98">
        <v>-13.1511</v>
      </c>
      <c r="E116" s="98">
        <v>18.885000000000002</v>
      </c>
      <c r="F116" s="88">
        <v>12</v>
      </c>
      <c r="G116" s="108">
        <v>-8.93338E-8</v>
      </c>
      <c r="H116" s="98">
        <v>-7.2897700000000003E-18</v>
      </c>
      <c r="I116" s="81">
        <v>37</v>
      </c>
      <c r="J116" s="80">
        <f t="shared" si="2"/>
        <v>0</v>
      </c>
      <c r="K116" s="97">
        <v>-6.59297E-7</v>
      </c>
      <c r="L116" s="98">
        <v>1.24407E-18</v>
      </c>
      <c r="M116" s="81">
        <v>5</v>
      </c>
      <c r="N116" s="80">
        <f t="shared" si="3"/>
        <v>0</v>
      </c>
    </row>
    <row r="117" spans="1:14" ht="15.75" thickBot="1" x14ac:dyDescent="0.3">
      <c r="A117" s="57"/>
      <c r="B117" s="1">
        <v>15</v>
      </c>
      <c r="C117" s="98">
        <v>-72.56</v>
      </c>
      <c r="D117" s="98">
        <v>13.9376</v>
      </c>
      <c r="E117" s="98">
        <v>122.06</v>
      </c>
      <c r="F117" s="88">
        <v>15</v>
      </c>
      <c r="G117" s="108">
        <v>62.726999999999997</v>
      </c>
      <c r="H117" s="98">
        <v>-0.92119799999999996</v>
      </c>
      <c r="I117" s="81">
        <v>40</v>
      </c>
      <c r="J117" s="80">
        <f t="shared" si="2"/>
        <v>1</v>
      </c>
      <c r="K117" s="97">
        <v>62.493699999999997</v>
      </c>
      <c r="L117" s="98">
        <v>-0.92038200000000003</v>
      </c>
      <c r="M117" s="81">
        <v>7</v>
      </c>
      <c r="N117" s="80">
        <f t="shared" si="3"/>
        <v>1</v>
      </c>
    </row>
    <row r="118" spans="1:14" ht="15.75" thickBot="1" x14ac:dyDescent="0.3">
      <c r="A118" s="57"/>
      <c r="B118" s="1">
        <v>16</v>
      </c>
      <c r="C118" s="98">
        <v>-7.71</v>
      </c>
      <c r="D118" s="98">
        <v>-2.6475</v>
      </c>
      <c r="E118" s="98">
        <v>3.6806299999999998</v>
      </c>
      <c r="F118" s="88">
        <v>8</v>
      </c>
      <c r="G118" s="108">
        <v>3.45436E-8</v>
      </c>
      <c r="H118" s="98">
        <v>-7.4255200000000005E-18</v>
      </c>
      <c r="I118" s="81">
        <v>34</v>
      </c>
      <c r="J118" s="80">
        <f t="shared" si="2"/>
        <v>0</v>
      </c>
      <c r="K118" s="97">
        <v>2.84297E-13</v>
      </c>
      <c r="L118" s="98">
        <v>-7.4493900000000001E-18</v>
      </c>
      <c r="M118" s="81">
        <v>5</v>
      </c>
      <c r="N118" s="80">
        <f t="shared" si="3"/>
        <v>0</v>
      </c>
    </row>
    <row r="119" spans="1:14" ht="15.75" thickBot="1" x14ac:dyDescent="0.3">
      <c r="A119" s="57"/>
      <c r="B119" s="1">
        <v>17</v>
      </c>
      <c r="C119" s="98">
        <v>63.85</v>
      </c>
      <c r="D119" s="98">
        <v>62.35</v>
      </c>
      <c r="E119" s="98">
        <v>63.85</v>
      </c>
      <c r="F119" s="88">
        <v>4</v>
      </c>
      <c r="G119" s="108">
        <v>62.726999999999997</v>
      </c>
      <c r="H119" s="98">
        <v>-0.92119799999999996</v>
      </c>
      <c r="I119" s="81">
        <v>31</v>
      </c>
      <c r="J119" s="80">
        <f t="shared" si="2"/>
        <v>1</v>
      </c>
      <c r="K119" s="97">
        <v>62.726799999999997</v>
      </c>
      <c r="L119" s="98">
        <v>-0.92119799999999996</v>
      </c>
      <c r="M119" s="81">
        <v>6</v>
      </c>
      <c r="N119" s="80">
        <f t="shared" si="3"/>
        <v>1</v>
      </c>
    </row>
    <row r="120" spans="1:14" ht="15.75" thickBot="1" x14ac:dyDescent="0.3">
      <c r="A120" s="57"/>
      <c r="B120" s="1">
        <v>18</v>
      </c>
      <c r="C120" s="98">
        <v>12.62</v>
      </c>
      <c r="D120" s="98">
        <v>-4.4659399999999998</v>
      </c>
      <c r="E120" s="98">
        <v>5.0262500000000001</v>
      </c>
      <c r="F120" s="88">
        <v>10</v>
      </c>
      <c r="G120" s="108">
        <v>2.7351999999999998E-7</v>
      </c>
      <c r="H120" s="98">
        <v>-5.9531199999999998E-18</v>
      </c>
      <c r="I120" s="81">
        <v>35</v>
      </c>
      <c r="J120" s="80">
        <f t="shared" si="2"/>
        <v>0</v>
      </c>
      <c r="K120" s="97">
        <v>2.6521600000000002E-13</v>
      </c>
      <c r="L120" s="98">
        <v>-7.4493900000000001E-18</v>
      </c>
      <c r="M120" s="81">
        <v>5</v>
      </c>
      <c r="N120" s="80">
        <f t="shared" si="3"/>
        <v>0</v>
      </c>
    </row>
    <row r="121" spans="1:14" ht="15.75" thickBot="1" x14ac:dyDescent="0.3">
      <c r="A121" s="57"/>
      <c r="B121" s="1">
        <v>19</v>
      </c>
      <c r="C121" s="98">
        <v>99.12</v>
      </c>
      <c r="D121" s="98">
        <v>41.454999999999998</v>
      </c>
      <c r="E121" s="98">
        <v>73.491100000000003</v>
      </c>
      <c r="F121" s="88">
        <v>13</v>
      </c>
      <c r="G121" s="108">
        <v>62.726999999999997</v>
      </c>
      <c r="H121" s="98">
        <v>-0.92119799999999996</v>
      </c>
      <c r="I121" s="81">
        <v>37</v>
      </c>
      <c r="J121" s="80">
        <f t="shared" si="2"/>
        <v>1</v>
      </c>
      <c r="K121" s="97">
        <v>57.472999999999999</v>
      </c>
      <c r="L121" s="98">
        <v>-0.58133100000000004</v>
      </c>
      <c r="M121" s="81">
        <v>4</v>
      </c>
      <c r="N121" s="80">
        <f t="shared" si="3"/>
        <v>0</v>
      </c>
    </row>
    <row r="122" spans="1:14" ht="15.75" thickBot="1" x14ac:dyDescent="0.3">
      <c r="A122" s="57"/>
      <c r="B122" s="1">
        <v>20</v>
      </c>
      <c r="C122" s="98">
        <v>-77.06</v>
      </c>
      <c r="D122" s="98">
        <v>9.4375599999999995</v>
      </c>
      <c r="E122" s="98">
        <v>117.56</v>
      </c>
      <c r="F122" s="88">
        <v>15</v>
      </c>
      <c r="G122" s="108">
        <v>62.726999999999997</v>
      </c>
      <c r="H122" s="98">
        <v>-0.92119799999999996</v>
      </c>
      <c r="I122" s="81">
        <v>40</v>
      </c>
      <c r="J122" s="80">
        <f t="shared" si="2"/>
        <v>1</v>
      </c>
      <c r="K122" s="97">
        <v>63.4985</v>
      </c>
      <c r="L122" s="98">
        <v>-0.91227999999999998</v>
      </c>
      <c r="M122" s="81">
        <v>5</v>
      </c>
      <c r="N122" s="80">
        <f t="shared" si="3"/>
        <v>1</v>
      </c>
    </row>
    <row r="123" spans="1:14" ht="15.75" thickBot="1" x14ac:dyDescent="0.3">
      <c r="A123" s="57"/>
      <c r="B123" s="1">
        <v>21</v>
      </c>
      <c r="C123" s="98">
        <v>64.72</v>
      </c>
      <c r="D123" s="98">
        <v>61.344999999999999</v>
      </c>
      <c r="E123" s="98">
        <v>63.22</v>
      </c>
      <c r="F123" s="88">
        <v>6</v>
      </c>
      <c r="G123" s="108">
        <v>62.726999999999997</v>
      </c>
      <c r="H123" s="98">
        <v>-0.92119799999999996</v>
      </c>
      <c r="I123" s="81">
        <v>31</v>
      </c>
      <c r="J123" s="80">
        <f t="shared" si="2"/>
        <v>1</v>
      </c>
      <c r="K123" s="97">
        <v>62.282499999999999</v>
      </c>
      <c r="L123" s="98">
        <v>-0.91823900000000003</v>
      </c>
      <c r="M123" s="81">
        <v>4</v>
      </c>
      <c r="N123" s="80">
        <f t="shared" si="3"/>
        <v>1</v>
      </c>
    </row>
    <row r="124" spans="1:14" ht="15.75" thickBot="1" x14ac:dyDescent="0.3">
      <c r="A124" s="57"/>
      <c r="B124" s="1">
        <v>22</v>
      </c>
      <c r="C124" s="98">
        <v>20.32</v>
      </c>
      <c r="D124" s="98">
        <v>-5.30891</v>
      </c>
      <c r="E124" s="98">
        <v>8.9293700000000005</v>
      </c>
      <c r="F124" s="88">
        <v>11</v>
      </c>
      <c r="G124" s="108">
        <v>2.32549E-7</v>
      </c>
      <c r="H124" s="98">
        <v>-6.3678099999999999E-18</v>
      </c>
      <c r="I124" s="81">
        <v>35</v>
      </c>
      <c r="J124" s="80">
        <f t="shared" si="2"/>
        <v>0</v>
      </c>
      <c r="K124" s="97">
        <v>6.4174299999999996E-13</v>
      </c>
      <c r="L124" s="98">
        <v>-7.4493900000000001E-18</v>
      </c>
      <c r="M124" s="81">
        <v>5</v>
      </c>
      <c r="N124" s="80">
        <f t="shared" si="3"/>
        <v>0</v>
      </c>
    </row>
    <row r="125" spans="1:14" ht="15.75" thickBot="1" x14ac:dyDescent="0.3">
      <c r="A125" s="57"/>
      <c r="B125" s="1">
        <v>23</v>
      </c>
      <c r="C125" s="98">
        <v>-87.36</v>
      </c>
      <c r="D125" s="98">
        <v>-29.695</v>
      </c>
      <c r="E125" s="98">
        <v>42.386299999999999</v>
      </c>
      <c r="F125" s="88">
        <v>14</v>
      </c>
      <c r="G125" s="108">
        <v>-5.1641900000000001E-8</v>
      </c>
      <c r="H125" s="98">
        <v>-7.39605E-18</v>
      </c>
      <c r="I125" s="81">
        <v>39</v>
      </c>
      <c r="J125" s="80">
        <f t="shared" si="2"/>
        <v>0</v>
      </c>
      <c r="K125" s="97">
        <v>-1.39829</v>
      </c>
      <c r="L125" s="98">
        <v>3.9104199999999997E-5</v>
      </c>
      <c r="M125" s="81">
        <v>5</v>
      </c>
      <c r="N125" s="80">
        <f t="shared" si="3"/>
        <v>0</v>
      </c>
    </row>
    <row r="126" spans="1:14" ht="15.75" thickBot="1" x14ac:dyDescent="0.3">
      <c r="A126" s="57"/>
      <c r="B126" s="1">
        <v>24</v>
      </c>
      <c r="C126" s="98">
        <v>59.26</v>
      </c>
      <c r="D126" s="98">
        <v>61.51</v>
      </c>
      <c r="E126" s="98">
        <v>64.322500000000005</v>
      </c>
      <c r="F126" s="88">
        <v>6</v>
      </c>
      <c r="G126" s="108">
        <v>62.726999999999997</v>
      </c>
      <c r="H126" s="98">
        <v>-0.92119799999999996</v>
      </c>
      <c r="I126" s="81">
        <v>32</v>
      </c>
      <c r="J126" s="80">
        <f t="shared" si="2"/>
        <v>1</v>
      </c>
      <c r="K126" s="97">
        <v>62.726999999999997</v>
      </c>
      <c r="L126" s="98">
        <v>-0.92119799999999996</v>
      </c>
      <c r="M126" s="81">
        <v>7</v>
      </c>
      <c r="N126" s="80">
        <f t="shared" si="3"/>
        <v>1</v>
      </c>
    </row>
    <row r="127" spans="1:14" ht="15.75" thickBot="1" x14ac:dyDescent="0.3">
      <c r="A127" s="57"/>
      <c r="B127" s="1">
        <v>25</v>
      </c>
      <c r="C127" s="98">
        <v>60.53</v>
      </c>
      <c r="D127" s="98">
        <v>62.03</v>
      </c>
      <c r="E127" s="98">
        <v>63.905000000000001</v>
      </c>
      <c r="F127" s="88">
        <v>5</v>
      </c>
      <c r="G127" s="108">
        <v>62.726999999999997</v>
      </c>
      <c r="H127" s="98">
        <v>-0.92119799999999996</v>
      </c>
      <c r="I127" s="81">
        <v>31</v>
      </c>
      <c r="J127" s="80">
        <f t="shared" si="2"/>
        <v>1</v>
      </c>
      <c r="K127" s="97">
        <v>62.726999999999997</v>
      </c>
      <c r="L127" s="98">
        <v>-0.92119799999999996</v>
      </c>
      <c r="M127" s="81">
        <v>7</v>
      </c>
      <c r="N127" s="80">
        <f t="shared" si="3"/>
        <v>1</v>
      </c>
    </row>
    <row r="128" spans="1:14" ht="15.75" thickBot="1" x14ac:dyDescent="0.3">
      <c r="A128" s="57"/>
      <c r="B128" s="1">
        <v>26</v>
      </c>
      <c r="C128" s="98">
        <v>-25.88</v>
      </c>
      <c r="D128" s="98">
        <v>-8.79406</v>
      </c>
      <c r="E128" s="98">
        <v>12.5634</v>
      </c>
      <c r="F128" s="88">
        <v>11</v>
      </c>
      <c r="G128" s="108">
        <v>-7.0461400000000007E-8</v>
      </c>
      <c r="H128" s="98">
        <v>-7.3500899999999994E-18</v>
      </c>
      <c r="I128" s="81">
        <v>36</v>
      </c>
      <c r="J128" s="80">
        <f t="shared" si="2"/>
        <v>0</v>
      </c>
      <c r="K128" s="97">
        <v>2.3391099999999998E-13</v>
      </c>
      <c r="L128" s="98">
        <v>-7.4493900000000001E-18</v>
      </c>
      <c r="M128" s="81">
        <v>6</v>
      </c>
      <c r="N128" s="80">
        <f t="shared" si="3"/>
        <v>0</v>
      </c>
    </row>
    <row r="129" spans="1:14" ht="15.75" thickBot="1" x14ac:dyDescent="0.3">
      <c r="A129" s="57"/>
      <c r="B129" s="1">
        <v>27</v>
      </c>
      <c r="C129" s="98">
        <v>-0.6</v>
      </c>
      <c r="D129" s="98">
        <v>-0.6</v>
      </c>
      <c r="E129" s="98">
        <v>0.9</v>
      </c>
      <c r="F129" s="88">
        <v>3</v>
      </c>
      <c r="G129" s="108">
        <v>2.7544300000000001E-7</v>
      </c>
      <c r="H129" s="98">
        <v>-5.9320100000000002E-18</v>
      </c>
      <c r="I129" s="81">
        <v>31</v>
      </c>
      <c r="J129" s="80">
        <f t="shared" si="2"/>
        <v>0</v>
      </c>
      <c r="K129" s="97">
        <v>2.3854599999999999E-13</v>
      </c>
      <c r="L129" s="98">
        <v>-7.4493900000000001E-18</v>
      </c>
      <c r="M129" s="81">
        <v>5</v>
      </c>
      <c r="N129" s="80">
        <f t="shared" si="3"/>
        <v>0</v>
      </c>
    </row>
    <row r="130" spans="1:14" ht="15.75" thickBot="1" x14ac:dyDescent="0.3">
      <c r="A130" s="57"/>
      <c r="B130" s="1">
        <v>28</v>
      </c>
      <c r="C130" s="98">
        <v>-20.82</v>
      </c>
      <c r="D130" s="98">
        <v>-9.4293700000000005</v>
      </c>
      <c r="E130" s="98">
        <v>4.80891</v>
      </c>
      <c r="F130" s="88">
        <v>10</v>
      </c>
      <c r="G130" s="108">
        <v>-3.9502099999999997E-7</v>
      </c>
      <c r="H130" s="98">
        <v>-4.32855E-18</v>
      </c>
      <c r="I130" s="81">
        <v>35</v>
      </c>
      <c r="J130" s="80">
        <f t="shared" si="2"/>
        <v>0</v>
      </c>
      <c r="K130" s="97">
        <v>-2.3102299999999998</v>
      </c>
      <c r="L130" s="98">
        <v>1.0674400000000001E-4</v>
      </c>
      <c r="M130" s="81">
        <v>4</v>
      </c>
      <c r="N130" s="80">
        <f t="shared" si="3"/>
        <v>0</v>
      </c>
    </row>
    <row r="131" spans="1:14" ht="15.75" thickBot="1" x14ac:dyDescent="0.3">
      <c r="A131" s="57"/>
      <c r="B131" s="1">
        <v>29</v>
      </c>
      <c r="C131" s="98">
        <v>13.93</v>
      </c>
      <c r="D131" s="98">
        <v>-3.1559400000000002</v>
      </c>
      <c r="E131" s="98">
        <v>6.3362499999999997</v>
      </c>
      <c r="F131" s="88">
        <v>10</v>
      </c>
      <c r="G131" s="108">
        <v>-7.0074999999999997E-8</v>
      </c>
      <c r="H131" s="98">
        <v>-7.3511800000000004E-18</v>
      </c>
      <c r="I131" s="81">
        <v>35</v>
      </c>
      <c r="J131" s="80">
        <f t="shared" si="2"/>
        <v>0</v>
      </c>
      <c r="K131" s="97">
        <v>4.9417E-13</v>
      </c>
      <c r="L131" s="98">
        <v>-7.4493900000000001E-18</v>
      </c>
      <c r="M131" s="81">
        <v>5</v>
      </c>
      <c r="N131" s="80">
        <f t="shared" si="3"/>
        <v>0</v>
      </c>
    </row>
    <row r="132" spans="1:14" ht="15.75" thickBot="1" x14ac:dyDescent="0.3">
      <c r="A132" s="57"/>
      <c r="B132" s="1">
        <v>30</v>
      </c>
      <c r="C132" s="98">
        <v>55.99</v>
      </c>
      <c r="D132" s="98">
        <v>61.052500000000002</v>
      </c>
      <c r="E132" s="98">
        <v>67.380600000000001</v>
      </c>
      <c r="F132" s="88">
        <v>8</v>
      </c>
      <c r="G132" s="108">
        <v>62.726999999999997</v>
      </c>
      <c r="H132" s="98">
        <v>-0.92119799999999996</v>
      </c>
      <c r="I132" s="81">
        <v>34</v>
      </c>
      <c r="J132" s="80">
        <f t="shared" ref="J132:J195" si="4">IF(G132&lt;60,0,1)</f>
        <v>1</v>
      </c>
      <c r="K132" s="97">
        <v>62.722499999999997</v>
      </c>
      <c r="L132" s="98">
        <v>-0.92119799999999996</v>
      </c>
      <c r="M132" s="81">
        <v>6</v>
      </c>
      <c r="N132" s="80">
        <f t="shared" ref="N132:N195" si="5">IF(K132&lt;60,0,1)</f>
        <v>1</v>
      </c>
    </row>
    <row r="133" spans="1:14" ht="15.75" thickBot="1" x14ac:dyDescent="0.3">
      <c r="A133" s="57"/>
      <c r="B133" s="1">
        <v>31</v>
      </c>
      <c r="C133" s="98">
        <v>-66.39</v>
      </c>
      <c r="D133" s="98">
        <v>-27.9466</v>
      </c>
      <c r="E133" s="98">
        <v>20.107600000000001</v>
      </c>
      <c r="F133" s="88">
        <v>13</v>
      </c>
      <c r="G133" s="108">
        <v>-1.40927E-7</v>
      </c>
      <c r="H133" s="98">
        <v>-7.0521800000000006E-18</v>
      </c>
      <c r="I133" s="81">
        <v>38</v>
      </c>
      <c r="J133" s="80">
        <f t="shared" si="4"/>
        <v>0</v>
      </c>
      <c r="K133" s="97">
        <v>-3.91954</v>
      </c>
      <c r="L133" s="98">
        <v>3.07256E-4</v>
      </c>
      <c r="M133" s="81">
        <v>4</v>
      </c>
      <c r="N133" s="80">
        <f t="shared" si="5"/>
        <v>0</v>
      </c>
    </row>
    <row r="134" spans="1:14" ht="15.75" thickBot="1" x14ac:dyDescent="0.3">
      <c r="A134" s="57"/>
      <c r="B134" s="1">
        <v>32</v>
      </c>
      <c r="C134" s="98">
        <v>-91.94</v>
      </c>
      <c r="D134" s="98">
        <v>-34.274999999999999</v>
      </c>
      <c r="E134" s="98">
        <v>37.8063</v>
      </c>
      <c r="F134" s="88">
        <v>14</v>
      </c>
      <c r="G134" s="108">
        <v>-2.5527599999999999E-7</v>
      </c>
      <c r="H134" s="98">
        <v>-6.1460600000000003E-18</v>
      </c>
      <c r="I134" s="81">
        <v>39</v>
      </c>
      <c r="J134" s="80">
        <f t="shared" si="4"/>
        <v>0</v>
      </c>
      <c r="K134" s="97">
        <v>-0.47217300000000001</v>
      </c>
      <c r="L134" s="98">
        <v>4.4589499999999999E-6</v>
      </c>
      <c r="M134" s="81">
        <v>5</v>
      </c>
      <c r="N134" s="80">
        <f t="shared" si="5"/>
        <v>0</v>
      </c>
    </row>
    <row r="135" spans="1:14" ht="15.75" thickBot="1" x14ac:dyDescent="0.3">
      <c r="A135" s="57"/>
      <c r="B135" s="1">
        <v>33</v>
      </c>
      <c r="C135" s="98">
        <v>15.12</v>
      </c>
      <c r="D135" s="98">
        <v>-10.508900000000001</v>
      </c>
      <c r="E135" s="98">
        <v>3.7293799999999999</v>
      </c>
      <c r="F135" s="88">
        <v>11</v>
      </c>
      <c r="G135" s="108">
        <v>2.5939300000000003E-7</v>
      </c>
      <c r="H135" s="98">
        <v>-6.1037000000000001E-18</v>
      </c>
      <c r="I135" s="81">
        <v>35</v>
      </c>
      <c r="J135" s="80">
        <f t="shared" si="4"/>
        <v>0</v>
      </c>
      <c r="K135" s="97">
        <v>-3.3897699999999999</v>
      </c>
      <c r="L135" s="98">
        <v>2.2981E-4</v>
      </c>
      <c r="M135" s="81">
        <v>4</v>
      </c>
      <c r="N135" s="80">
        <f t="shared" si="5"/>
        <v>0</v>
      </c>
    </row>
    <row r="136" spans="1:14" ht="15.75" thickBot="1" x14ac:dyDescent="0.3">
      <c r="A136" s="57"/>
      <c r="B136" s="1">
        <v>34</v>
      </c>
      <c r="C136" s="98">
        <v>-24.33</v>
      </c>
      <c r="D136" s="98">
        <v>-7.2440600000000002</v>
      </c>
      <c r="E136" s="98">
        <v>14.1134</v>
      </c>
      <c r="F136" s="88">
        <v>11</v>
      </c>
      <c r="G136" s="108">
        <v>-3.14931E-7</v>
      </c>
      <c r="H136" s="98">
        <v>-5.4657500000000004E-18</v>
      </c>
      <c r="I136" s="81">
        <v>36</v>
      </c>
      <c r="J136" s="80">
        <f t="shared" si="4"/>
        <v>0</v>
      </c>
      <c r="K136" s="97">
        <v>2.3391099999999998E-13</v>
      </c>
      <c r="L136" s="98">
        <v>-7.4493900000000001E-18</v>
      </c>
      <c r="M136" s="81">
        <v>6</v>
      </c>
      <c r="N136" s="80">
        <f t="shared" si="5"/>
        <v>0</v>
      </c>
    </row>
    <row r="137" spans="1:14" ht="15.75" thickBot="1" x14ac:dyDescent="0.3">
      <c r="A137" s="57"/>
      <c r="B137" s="1">
        <v>35</v>
      </c>
      <c r="C137" s="98">
        <v>-63.32</v>
      </c>
      <c r="D137" s="98">
        <v>-24.8766</v>
      </c>
      <c r="E137" s="98">
        <v>23.177600000000002</v>
      </c>
      <c r="F137" s="88">
        <v>13</v>
      </c>
      <c r="G137" s="108">
        <v>2.17003E-7</v>
      </c>
      <c r="H137" s="98">
        <v>-6.5075799999999997E-18</v>
      </c>
      <c r="I137" s="81">
        <v>38</v>
      </c>
      <c r="J137" s="80">
        <f t="shared" si="4"/>
        <v>0</v>
      </c>
      <c r="K137" s="97">
        <v>-0.84954099999999999</v>
      </c>
      <c r="L137" s="98">
        <v>1.44344E-5</v>
      </c>
      <c r="M137" s="81">
        <v>4</v>
      </c>
      <c r="N137" s="80">
        <f t="shared" si="5"/>
        <v>0</v>
      </c>
    </row>
    <row r="138" spans="1:14" ht="15.75" thickBot="1" x14ac:dyDescent="0.3">
      <c r="A138" s="57"/>
      <c r="B138" s="1">
        <v>36</v>
      </c>
      <c r="C138" s="98">
        <v>93.88</v>
      </c>
      <c r="D138" s="98">
        <v>55.436599999999999</v>
      </c>
      <c r="E138" s="98">
        <v>76.7941</v>
      </c>
      <c r="F138" s="88">
        <v>12</v>
      </c>
      <c r="G138" s="108">
        <v>62.726999999999997</v>
      </c>
      <c r="H138" s="98">
        <v>-0.92119799999999996</v>
      </c>
      <c r="I138" s="81">
        <v>36</v>
      </c>
      <c r="J138" s="80">
        <f t="shared" si="4"/>
        <v>1</v>
      </c>
      <c r="K138" s="97">
        <v>62.328499999999998</v>
      </c>
      <c r="L138" s="98">
        <v>-0.91881900000000005</v>
      </c>
      <c r="M138" s="81">
        <v>6</v>
      </c>
      <c r="N138" s="80">
        <f t="shared" si="5"/>
        <v>1</v>
      </c>
    </row>
    <row r="139" spans="1:14" ht="15.75" thickBot="1" x14ac:dyDescent="0.3">
      <c r="A139" s="57"/>
      <c r="B139" s="1">
        <v>37</v>
      </c>
      <c r="C139" s="98">
        <v>-64.98</v>
      </c>
      <c r="D139" s="98">
        <v>-26.5366</v>
      </c>
      <c r="E139" s="98">
        <v>21.517600000000002</v>
      </c>
      <c r="F139" s="88">
        <v>13</v>
      </c>
      <c r="G139" s="108">
        <v>1.7196000000000001E-7</v>
      </c>
      <c r="H139" s="98">
        <v>-6.8579900000000003E-18</v>
      </c>
      <c r="I139" s="81">
        <v>38</v>
      </c>
      <c r="J139" s="80">
        <f t="shared" si="4"/>
        <v>0</v>
      </c>
      <c r="K139" s="97">
        <v>-2.5095399999999999</v>
      </c>
      <c r="L139" s="98">
        <v>1.2595600000000001E-4</v>
      </c>
      <c r="M139" s="81">
        <v>4</v>
      </c>
      <c r="N139" s="80">
        <f t="shared" si="5"/>
        <v>0</v>
      </c>
    </row>
    <row r="140" spans="1:14" ht="15.75" thickBot="1" x14ac:dyDescent="0.3">
      <c r="A140" s="57"/>
      <c r="B140" s="1">
        <v>38</v>
      </c>
      <c r="C140" s="98">
        <v>13.69</v>
      </c>
      <c r="D140" s="98">
        <v>-3.39594</v>
      </c>
      <c r="E140" s="98">
        <v>6.0962500000000004</v>
      </c>
      <c r="F140" s="88">
        <v>10</v>
      </c>
      <c r="G140" s="108">
        <v>-2.4978499999999998E-7</v>
      </c>
      <c r="H140" s="98">
        <v>-6.2015400000000002E-18</v>
      </c>
      <c r="I140" s="81">
        <v>35</v>
      </c>
      <c r="J140" s="80">
        <f t="shared" si="4"/>
        <v>0</v>
      </c>
      <c r="K140" s="97">
        <v>4.4029600000000002E-13</v>
      </c>
      <c r="L140" s="98">
        <v>-7.4493900000000001E-18</v>
      </c>
      <c r="M140" s="81">
        <v>5</v>
      </c>
      <c r="N140" s="80">
        <f t="shared" si="5"/>
        <v>0</v>
      </c>
    </row>
    <row r="141" spans="1:14" ht="15.75" thickBot="1" x14ac:dyDescent="0.3">
      <c r="A141" s="57"/>
      <c r="B141" s="1">
        <v>39</v>
      </c>
      <c r="C141" s="98">
        <v>-25.85</v>
      </c>
      <c r="D141" s="98">
        <v>-8.7640600000000006</v>
      </c>
      <c r="E141" s="98">
        <v>12.593400000000001</v>
      </c>
      <c r="F141" s="88">
        <v>11</v>
      </c>
      <c r="G141" s="108">
        <v>-4.11713E-7</v>
      </c>
      <c r="H141" s="98">
        <v>-4.0592200000000002E-18</v>
      </c>
      <c r="I141" s="81">
        <v>36</v>
      </c>
      <c r="J141" s="80">
        <f t="shared" si="4"/>
        <v>0</v>
      </c>
      <c r="K141" s="97">
        <v>2.3391099999999998E-13</v>
      </c>
      <c r="L141" s="98">
        <v>-7.4493900000000001E-18</v>
      </c>
      <c r="M141" s="81">
        <v>6</v>
      </c>
      <c r="N141" s="80">
        <f t="shared" si="5"/>
        <v>0</v>
      </c>
    </row>
    <row r="142" spans="1:14" ht="15.75" thickBot="1" x14ac:dyDescent="0.3">
      <c r="A142" s="57"/>
      <c r="B142" s="1">
        <v>40</v>
      </c>
      <c r="C142" s="98">
        <v>75.959999999999994</v>
      </c>
      <c r="D142" s="98">
        <v>58.874099999999999</v>
      </c>
      <c r="E142" s="98">
        <v>68.366299999999995</v>
      </c>
      <c r="F142" s="88">
        <v>10</v>
      </c>
      <c r="G142" s="108">
        <v>62.726999999999997</v>
      </c>
      <c r="H142" s="98">
        <v>-0.92119799999999996</v>
      </c>
      <c r="I142" s="81">
        <v>35</v>
      </c>
      <c r="J142" s="80">
        <f t="shared" si="4"/>
        <v>1</v>
      </c>
      <c r="K142" s="97">
        <v>62.683900000000001</v>
      </c>
      <c r="L142" s="98">
        <v>-0.92117000000000004</v>
      </c>
      <c r="M142" s="81">
        <v>6</v>
      </c>
      <c r="N142" s="80">
        <f t="shared" si="5"/>
        <v>1</v>
      </c>
    </row>
    <row r="143" spans="1:14" ht="15.75" thickBot="1" x14ac:dyDescent="0.3">
      <c r="A143" s="57"/>
      <c r="B143" s="1">
        <v>41</v>
      </c>
      <c r="C143" s="98">
        <v>66.88</v>
      </c>
      <c r="D143" s="98">
        <v>61.817500000000003</v>
      </c>
      <c r="E143" s="98">
        <v>64.63</v>
      </c>
      <c r="F143" s="88">
        <v>7</v>
      </c>
      <c r="G143" s="108">
        <v>62.726999999999997</v>
      </c>
      <c r="H143" s="98">
        <v>-0.92119799999999996</v>
      </c>
      <c r="I143" s="81">
        <v>32</v>
      </c>
      <c r="J143" s="80">
        <f t="shared" si="4"/>
        <v>1</v>
      </c>
      <c r="K143" s="97">
        <v>62.7258</v>
      </c>
      <c r="L143" s="98">
        <v>-0.92119799999999996</v>
      </c>
      <c r="M143" s="81">
        <v>6</v>
      </c>
      <c r="N143" s="80">
        <f t="shared" si="5"/>
        <v>1</v>
      </c>
    </row>
    <row r="144" spans="1:14" ht="15.75" thickBot="1" x14ac:dyDescent="0.3">
      <c r="A144" s="57"/>
      <c r="B144" s="1">
        <v>42</v>
      </c>
      <c r="C144" s="98">
        <v>-58.06</v>
      </c>
      <c r="D144" s="98">
        <v>-19.616599999999998</v>
      </c>
      <c r="E144" s="98">
        <v>28.4376</v>
      </c>
      <c r="F144" s="88">
        <v>13</v>
      </c>
      <c r="G144" s="108">
        <v>2.0411199999999999E-7</v>
      </c>
      <c r="H144" s="98">
        <v>-6.61615E-18</v>
      </c>
      <c r="I144" s="81">
        <v>38</v>
      </c>
      <c r="J144" s="80">
        <f t="shared" si="4"/>
        <v>0</v>
      </c>
      <c r="K144" s="97">
        <v>-2.3430899999999999E-3</v>
      </c>
      <c r="L144" s="98">
        <v>1.0980099999999999E-10</v>
      </c>
      <c r="M144" s="81">
        <v>5</v>
      </c>
      <c r="N144" s="80">
        <f t="shared" si="5"/>
        <v>0</v>
      </c>
    </row>
    <row r="145" spans="1:14" ht="15.75" thickBot="1" x14ac:dyDescent="0.3">
      <c r="A145" s="57"/>
      <c r="B145" s="1">
        <v>43</v>
      </c>
      <c r="C145" s="98">
        <v>-5.46</v>
      </c>
      <c r="D145" s="98">
        <v>-2.085</v>
      </c>
      <c r="E145" s="98">
        <v>2.13375</v>
      </c>
      <c r="F145" s="88">
        <v>7</v>
      </c>
      <c r="G145" s="108">
        <v>-3.5968600000000001E-7</v>
      </c>
      <c r="H145" s="98">
        <v>-4.8619000000000003E-18</v>
      </c>
      <c r="I145" s="81">
        <v>33</v>
      </c>
      <c r="J145" s="80">
        <f t="shared" si="4"/>
        <v>0</v>
      </c>
      <c r="K145" s="97">
        <v>2.3567300000000001E-13</v>
      </c>
      <c r="L145" s="98">
        <v>-7.4493900000000001E-18</v>
      </c>
      <c r="M145" s="81">
        <v>5</v>
      </c>
      <c r="N145" s="80">
        <f t="shared" si="5"/>
        <v>0</v>
      </c>
    </row>
    <row r="146" spans="1:14" ht="15.75" thickBot="1" x14ac:dyDescent="0.3">
      <c r="A146" s="57"/>
      <c r="B146" s="1">
        <v>44</v>
      </c>
      <c r="C146" s="98">
        <v>64.959999999999994</v>
      </c>
      <c r="D146" s="98">
        <v>61.585000000000001</v>
      </c>
      <c r="E146" s="98">
        <v>63.46</v>
      </c>
      <c r="F146" s="88">
        <v>6</v>
      </c>
      <c r="G146" s="108">
        <v>62.726999999999997</v>
      </c>
      <c r="H146" s="98">
        <v>-0.92119799999999996</v>
      </c>
      <c r="I146" s="81">
        <v>31</v>
      </c>
      <c r="J146" s="80">
        <f t="shared" si="4"/>
        <v>1</v>
      </c>
      <c r="K146" s="97">
        <v>62.522500000000001</v>
      </c>
      <c r="L146" s="98">
        <v>-0.92057100000000003</v>
      </c>
      <c r="M146" s="81">
        <v>4</v>
      </c>
      <c r="N146" s="80">
        <f t="shared" si="5"/>
        <v>1</v>
      </c>
    </row>
    <row r="147" spans="1:14" ht="15.75" thickBot="1" x14ac:dyDescent="0.3">
      <c r="A147" s="57"/>
      <c r="B147" s="1">
        <v>45</v>
      </c>
      <c r="C147" s="98">
        <v>-85.8</v>
      </c>
      <c r="D147" s="98">
        <v>-28.135000000000002</v>
      </c>
      <c r="E147" s="98">
        <v>43.946300000000001</v>
      </c>
      <c r="F147" s="88">
        <v>14</v>
      </c>
      <c r="G147" s="108">
        <v>1.25376E-7</v>
      </c>
      <c r="H147" s="98">
        <v>-7.1350100000000007E-18</v>
      </c>
      <c r="I147" s="81">
        <v>39</v>
      </c>
      <c r="J147" s="80">
        <f t="shared" si="4"/>
        <v>0</v>
      </c>
      <c r="K147" s="97">
        <v>-1.48393</v>
      </c>
      <c r="L147" s="98">
        <v>4.4041200000000001E-5</v>
      </c>
      <c r="M147" s="81">
        <v>5</v>
      </c>
      <c r="N147" s="80">
        <f t="shared" si="5"/>
        <v>0</v>
      </c>
    </row>
    <row r="148" spans="1:14" ht="15.75" thickBot="1" x14ac:dyDescent="0.3">
      <c r="A148" s="57"/>
      <c r="B148" s="1">
        <v>46</v>
      </c>
      <c r="C148" s="98">
        <v>79.540000000000006</v>
      </c>
      <c r="D148" s="98">
        <v>53.911099999999998</v>
      </c>
      <c r="E148" s="98">
        <v>68.1494</v>
      </c>
      <c r="F148" s="88">
        <v>11</v>
      </c>
      <c r="G148" s="108">
        <v>62.726999999999997</v>
      </c>
      <c r="H148" s="98">
        <v>-0.92119799999999996</v>
      </c>
      <c r="I148" s="81">
        <v>35</v>
      </c>
      <c r="J148" s="80">
        <f t="shared" si="4"/>
        <v>1</v>
      </c>
      <c r="K148" s="97">
        <v>61.030200000000001</v>
      </c>
      <c r="L148" s="98">
        <v>-0.87898500000000002</v>
      </c>
      <c r="M148" s="81">
        <v>4</v>
      </c>
      <c r="N148" s="80">
        <f t="shared" si="5"/>
        <v>1</v>
      </c>
    </row>
    <row r="149" spans="1:14" ht="15.75" thickBot="1" x14ac:dyDescent="0.3">
      <c r="A149" s="57"/>
      <c r="B149" s="1">
        <v>47</v>
      </c>
      <c r="C149" s="98">
        <v>98.58</v>
      </c>
      <c r="D149" s="98">
        <v>40.914999999999999</v>
      </c>
      <c r="E149" s="98">
        <v>72.951099999999997</v>
      </c>
      <c r="F149" s="88">
        <v>13</v>
      </c>
      <c r="G149" s="108">
        <v>62.726999999999997</v>
      </c>
      <c r="H149" s="98">
        <v>-0.92119799999999996</v>
      </c>
      <c r="I149" s="81">
        <v>37</v>
      </c>
      <c r="J149" s="80">
        <f t="shared" si="4"/>
        <v>1</v>
      </c>
      <c r="K149" s="97">
        <v>56.933</v>
      </c>
      <c r="L149" s="98">
        <v>-0.52417100000000005</v>
      </c>
      <c r="M149" s="81">
        <v>4</v>
      </c>
      <c r="N149" s="80">
        <f t="shared" si="5"/>
        <v>0</v>
      </c>
    </row>
    <row r="150" spans="1:14" ht="15.75" thickBot="1" x14ac:dyDescent="0.3">
      <c r="A150" s="57"/>
      <c r="B150" s="1">
        <v>48</v>
      </c>
      <c r="C150" s="98">
        <v>25.05</v>
      </c>
      <c r="D150" s="98">
        <v>-13.3934</v>
      </c>
      <c r="E150" s="98">
        <v>7.9640599999999999</v>
      </c>
      <c r="F150" s="88">
        <v>12</v>
      </c>
      <c r="G150" s="108">
        <v>8.1591500000000006E-8</v>
      </c>
      <c r="H150" s="98">
        <v>-7.3162400000000001E-18</v>
      </c>
      <c r="I150" s="81">
        <v>36</v>
      </c>
      <c r="J150" s="80">
        <f t="shared" si="4"/>
        <v>0</v>
      </c>
      <c r="K150" s="97">
        <v>-2.7146499999999998</v>
      </c>
      <c r="L150" s="98">
        <v>1.47386E-4</v>
      </c>
      <c r="M150" s="81">
        <v>4</v>
      </c>
      <c r="N150" s="80">
        <f t="shared" si="5"/>
        <v>0</v>
      </c>
    </row>
    <row r="151" spans="1:14" ht="15.75" thickBot="1" x14ac:dyDescent="0.3">
      <c r="A151" s="57"/>
      <c r="B151" s="1">
        <v>49</v>
      </c>
      <c r="C151" s="98">
        <v>-67.81</v>
      </c>
      <c r="D151" s="98">
        <v>-29.366599999999998</v>
      </c>
      <c r="E151" s="98">
        <v>18.6876</v>
      </c>
      <c r="F151" s="88">
        <v>13</v>
      </c>
      <c r="G151" s="108">
        <v>1.2774399999999999E-8</v>
      </c>
      <c r="H151" s="98">
        <v>-7.4461200000000003E-18</v>
      </c>
      <c r="I151" s="81">
        <v>38</v>
      </c>
      <c r="J151" s="80">
        <f t="shared" si="4"/>
        <v>0</v>
      </c>
      <c r="K151" s="97">
        <v>-5.3395400000000004</v>
      </c>
      <c r="L151" s="98">
        <v>5.7021399999999999E-4</v>
      </c>
      <c r="M151" s="81">
        <v>4</v>
      </c>
      <c r="N151" s="80">
        <f t="shared" si="5"/>
        <v>0</v>
      </c>
    </row>
    <row r="152" spans="1:14" ht="15.75" thickBot="1" x14ac:dyDescent="0.3">
      <c r="A152" s="57"/>
      <c r="B152" s="1">
        <v>50</v>
      </c>
      <c r="C152" s="98">
        <v>-52.26</v>
      </c>
      <c r="D152" s="98">
        <v>-13.816599999999999</v>
      </c>
      <c r="E152" s="98">
        <v>34.2376</v>
      </c>
      <c r="F152" s="88">
        <v>13</v>
      </c>
      <c r="G152" s="108">
        <v>6.8559100000000004E-8</v>
      </c>
      <c r="H152" s="98">
        <v>-7.3553800000000007E-18</v>
      </c>
      <c r="I152" s="81">
        <v>38</v>
      </c>
      <c r="J152" s="80">
        <f t="shared" si="4"/>
        <v>0</v>
      </c>
      <c r="K152" s="97">
        <v>-2.1225500000000001E-2</v>
      </c>
      <c r="L152" s="98">
        <v>9.0104500000000005E-9</v>
      </c>
      <c r="M152" s="81">
        <v>5</v>
      </c>
      <c r="N152" s="80">
        <f t="shared" si="5"/>
        <v>0</v>
      </c>
    </row>
    <row r="153" spans="1:14" ht="15.75" thickBot="1" x14ac:dyDescent="0.3">
      <c r="A153" s="57"/>
      <c r="B153" s="1">
        <v>51</v>
      </c>
      <c r="C153" s="98">
        <v>-80.53</v>
      </c>
      <c r="D153" s="98">
        <v>-22.864999999999998</v>
      </c>
      <c r="E153" s="98">
        <v>49.216299999999997</v>
      </c>
      <c r="F153" s="88">
        <v>14</v>
      </c>
      <c r="G153" s="108">
        <v>-2.2934199999999999E-7</v>
      </c>
      <c r="H153" s="98">
        <v>-6.3974300000000003E-18</v>
      </c>
      <c r="I153" s="81">
        <v>39</v>
      </c>
      <c r="J153" s="80">
        <f t="shared" si="4"/>
        <v>0</v>
      </c>
      <c r="K153" s="97">
        <v>2.3391099999999998E-13</v>
      </c>
      <c r="L153" s="98">
        <v>-7.4493900000000001E-18</v>
      </c>
      <c r="M153" s="81">
        <v>8</v>
      </c>
      <c r="N153" s="80">
        <f t="shared" si="5"/>
        <v>0</v>
      </c>
    </row>
    <row r="154" spans="1:14" ht="15.75" thickBot="1" x14ac:dyDescent="0.3">
      <c r="A154" s="57"/>
      <c r="B154" s="1">
        <v>52</v>
      </c>
      <c r="C154" s="98">
        <v>-64.17</v>
      </c>
      <c r="D154" s="98">
        <v>-25.726600000000001</v>
      </c>
      <c r="E154" s="98">
        <v>22.3276</v>
      </c>
      <c r="F154" s="88">
        <v>13</v>
      </c>
      <c r="G154" s="108">
        <v>3.6786400000000002E-7</v>
      </c>
      <c r="H154" s="98">
        <v>-4.7428999999999996E-18</v>
      </c>
      <c r="I154" s="81">
        <v>38</v>
      </c>
      <c r="J154" s="80">
        <f t="shared" si="4"/>
        <v>0</v>
      </c>
      <c r="K154" s="97">
        <v>-1.6995400000000001</v>
      </c>
      <c r="L154" s="98">
        <v>5.7768800000000002E-5</v>
      </c>
      <c r="M154" s="81">
        <v>4</v>
      </c>
      <c r="N154" s="80">
        <f t="shared" si="5"/>
        <v>0</v>
      </c>
    </row>
    <row r="155" spans="1:14" ht="15.75" thickBot="1" x14ac:dyDescent="0.3">
      <c r="A155" s="57"/>
      <c r="B155" s="1">
        <v>53</v>
      </c>
      <c r="C155" s="98">
        <v>-36.35</v>
      </c>
      <c r="D155" s="98">
        <v>-10.7211</v>
      </c>
      <c r="E155" s="98">
        <v>21.315000000000001</v>
      </c>
      <c r="F155" s="88">
        <v>12</v>
      </c>
      <c r="G155" s="108">
        <v>-8.5937900000000006E-8</v>
      </c>
      <c r="H155" s="98">
        <v>-7.3016800000000007E-18</v>
      </c>
      <c r="I155" s="81">
        <v>37</v>
      </c>
      <c r="J155" s="80">
        <f t="shared" si="4"/>
        <v>0</v>
      </c>
      <c r="K155" s="97">
        <v>-4.7156100000000001E-6</v>
      </c>
      <c r="L155" s="98">
        <v>4.3729E-16</v>
      </c>
      <c r="M155" s="81">
        <v>5</v>
      </c>
      <c r="N155" s="80">
        <f t="shared" si="5"/>
        <v>0</v>
      </c>
    </row>
    <row r="156" spans="1:14" ht="15.75" thickBot="1" x14ac:dyDescent="0.3">
      <c r="A156" s="57"/>
      <c r="B156" s="1">
        <v>54</v>
      </c>
      <c r="C156" s="98">
        <v>71.09</v>
      </c>
      <c r="D156" s="98">
        <v>59.699399999999997</v>
      </c>
      <c r="E156" s="98">
        <v>66.027500000000003</v>
      </c>
      <c r="F156" s="88">
        <v>9</v>
      </c>
      <c r="G156" s="108">
        <v>62.726999999999997</v>
      </c>
      <c r="H156" s="98">
        <v>-0.92119799999999996</v>
      </c>
      <c r="I156" s="81">
        <v>34</v>
      </c>
      <c r="J156" s="80">
        <f t="shared" si="4"/>
        <v>1</v>
      </c>
      <c r="K156" s="97">
        <v>62.724800000000002</v>
      </c>
      <c r="L156" s="98">
        <v>-0.92119799999999996</v>
      </c>
      <c r="M156" s="81">
        <v>6</v>
      </c>
      <c r="N156" s="80">
        <f t="shared" si="5"/>
        <v>1</v>
      </c>
    </row>
    <row r="157" spans="1:14" ht="15.75" thickBot="1" x14ac:dyDescent="0.3">
      <c r="A157" s="57"/>
      <c r="B157" s="1">
        <v>55</v>
      </c>
      <c r="C157" s="98">
        <v>45.63</v>
      </c>
      <c r="D157" s="98">
        <v>57.020600000000002</v>
      </c>
      <c r="E157" s="98">
        <v>71.258899999999997</v>
      </c>
      <c r="F157" s="88">
        <v>10</v>
      </c>
      <c r="G157" s="108">
        <v>62.726999999999997</v>
      </c>
      <c r="H157" s="98">
        <v>-0.92119799999999996</v>
      </c>
      <c r="I157" s="81">
        <v>35</v>
      </c>
      <c r="J157" s="80">
        <f t="shared" si="4"/>
        <v>1</v>
      </c>
      <c r="K157" s="97">
        <v>62.572600000000001</v>
      </c>
      <c r="L157" s="98">
        <v>-0.92084100000000002</v>
      </c>
      <c r="M157" s="81">
        <v>6</v>
      </c>
      <c r="N157" s="80">
        <f t="shared" si="5"/>
        <v>1</v>
      </c>
    </row>
    <row r="158" spans="1:14" ht="15.75" thickBot="1" x14ac:dyDescent="0.3">
      <c r="A158" s="57"/>
      <c r="B158" s="1">
        <v>56</v>
      </c>
      <c r="C158" s="98">
        <v>20.37</v>
      </c>
      <c r="D158" s="98">
        <v>-5.2589100000000002</v>
      </c>
      <c r="E158" s="98">
        <v>8.9793800000000008</v>
      </c>
      <c r="F158" s="88">
        <v>11</v>
      </c>
      <c r="G158" s="108">
        <v>-4.1875600000000002E-7</v>
      </c>
      <c r="H158" s="98">
        <v>-3.9422400000000002E-18</v>
      </c>
      <c r="I158" s="81">
        <v>35</v>
      </c>
      <c r="J158" s="80">
        <f t="shared" si="4"/>
        <v>0</v>
      </c>
      <c r="K158" s="97">
        <v>6.6152499999999995E-13</v>
      </c>
      <c r="L158" s="98">
        <v>-7.4493900000000001E-18</v>
      </c>
      <c r="M158" s="81">
        <v>5</v>
      </c>
      <c r="N158" s="80">
        <f t="shared" si="5"/>
        <v>0</v>
      </c>
    </row>
    <row r="159" spans="1:14" ht="15.75" thickBot="1" x14ac:dyDescent="0.3">
      <c r="A159" s="57"/>
      <c r="B159" s="1">
        <v>57</v>
      </c>
      <c r="C159" s="98">
        <v>31.98</v>
      </c>
      <c r="D159" s="98">
        <v>-6.4633599999999998</v>
      </c>
      <c r="E159" s="98">
        <v>14.8941</v>
      </c>
      <c r="F159" s="88">
        <v>12</v>
      </c>
      <c r="G159" s="108">
        <v>-6.4604599999999993E-8</v>
      </c>
      <c r="H159" s="98">
        <v>-7.36591E-18</v>
      </c>
      <c r="I159" s="81">
        <v>36</v>
      </c>
      <c r="J159" s="80">
        <f t="shared" si="4"/>
        <v>0</v>
      </c>
      <c r="K159" s="97">
        <v>2.3391000000000001E-13</v>
      </c>
      <c r="L159" s="98">
        <v>-7.4493900000000001E-18</v>
      </c>
      <c r="M159" s="81">
        <v>6</v>
      </c>
      <c r="N159" s="80">
        <f t="shared" si="5"/>
        <v>0</v>
      </c>
    </row>
    <row r="160" spans="1:14" ht="15.75" thickBot="1" x14ac:dyDescent="0.3">
      <c r="A160" s="57"/>
      <c r="B160" s="1">
        <v>58</v>
      </c>
      <c r="C160" s="98">
        <v>-45.38</v>
      </c>
      <c r="D160" s="98">
        <v>-19.751100000000001</v>
      </c>
      <c r="E160" s="98">
        <v>12.285</v>
      </c>
      <c r="F160" s="88">
        <v>12</v>
      </c>
      <c r="G160" s="108">
        <v>-7.8331399999999997E-8</v>
      </c>
      <c r="H160" s="98">
        <v>-7.3266700000000005E-18</v>
      </c>
      <c r="I160" s="81">
        <v>37</v>
      </c>
      <c r="J160" s="80">
        <f t="shared" si="4"/>
        <v>0</v>
      </c>
      <c r="K160" s="97">
        <v>-3.7330299999999998</v>
      </c>
      <c r="L160" s="98">
        <v>2.7870999999999999E-4</v>
      </c>
      <c r="M160" s="81">
        <v>4</v>
      </c>
      <c r="N160" s="80">
        <f t="shared" si="5"/>
        <v>0</v>
      </c>
    </row>
    <row r="161" spans="1:14" ht="15.75" thickBot="1" x14ac:dyDescent="0.3">
      <c r="A161" s="57"/>
      <c r="B161" s="1">
        <v>59</v>
      </c>
      <c r="C161" s="98">
        <v>-89.04</v>
      </c>
      <c r="D161" s="98">
        <v>-31.375</v>
      </c>
      <c r="E161" s="98">
        <v>40.706299999999999</v>
      </c>
      <c r="F161" s="88">
        <v>14</v>
      </c>
      <c r="G161" s="108">
        <v>8.2820100000000002E-8</v>
      </c>
      <c r="H161" s="98">
        <v>-7.3122000000000003E-18</v>
      </c>
      <c r="I161" s="81">
        <v>39</v>
      </c>
      <c r="J161" s="80">
        <f t="shared" si="4"/>
        <v>0</v>
      </c>
      <c r="K161" s="97">
        <v>-1.07352</v>
      </c>
      <c r="L161" s="98">
        <v>2.3048899999999999E-5</v>
      </c>
      <c r="M161" s="81">
        <v>5</v>
      </c>
      <c r="N161" s="80">
        <f t="shared" si="5"/>
        <v>0</v>
      </c>
    </row>
    <row r="162" spans="1:14" ht="15.75" thickBot="1" x14ac:dyDescent="0.3">
      <c r="A162" s="57"/>
      <c r="B162" s="1">
        <v>60</v>
      </c>
      <c r="C162" s="98">
        <v>-89.11</v>
      </c>
      <c r="D162" s="98">
        <v>-31.445</v>
      </c>
      <c r="E162" s="98">
        <v>40.636299999999999</v>
      </c>
      <c r="F162" s="88">
        <v>14</v>
      </c>
      <c r="G162" s="108">
        <v>-1.46368E-7</v>
      </c>
      <c r="H162" s="98">
        <v>-7.0209200000000004E-18</v>
      </c>
      <c r="I162" s="81">
        <v>39</v>
      </c>
      <c r="J162" s="80">
        <f t="shared" si="4"/>
        <v>0</v>
      </c>
      <c r="K162" s="97">
        <v>-1.05783</v>
      </c>
      <c r="L162" s="98">
        <v>2.2379899999999999E-5</v>
      </c>
      <c r="M162" s="81">
        <v>5</v>
      </c>
      <c r="N162" s="80">
        <f t="shared" si="5"/>
        <v>0</v>
      </c>
    </row>
    <row r="163" spans="1:14" ht="15.75" thickBot="1" x14ac:dyDescent="0.3">
      <c r="A163" s="57"/>
      <c r="B163" s="1">
        <v>61</v>
      </c>
      <c r="C163" s="98">
        <v>-95.6</v>
      </c>
      <c r="D163" s="98">
        <v>-37.935000000000002</v>
      </c>
      <c r="E163" s="98">
        <v>34.146299999999997</v>
      </c>
      <c r="F163" s="88">
        <v>14</v>
      </c>
      <c r="G163" s="108">
        <v>-2.6421400000000001E-7</v>
      </c>
      <c r="H163" s="98">
        <v>-6.05321E-18</v>
      </c>
      <c r="I163" s="81">
        <v>39</v>
      </c>
      <c r="J163" s="80">
        <f t="shared" si="4"/>
        <v>0</v>
      </c>
      <c r="K163" s="97">
        <v>-1.8943099999999999</v>
      </c>
      <c r="L163" s="98">
        <v>7.1768300000000002E-5</v>
      </c>
      <c r="M163" s="81">
        <v>4</v>
      </c>
      <c r="N163" s="80">
        <f t="shared" si="5"/>
        <v>0</v>
      </c>
    </row>
    <row r="164" spans="1:14" ht="15.75" thickBot="1" x14ac:dyDescent="0.3">
      <c r="A164" s="57"/>
      <c r="B164" s="1">
        <v>62</v>
      </c>
      <c r="C164" s="98">
        <v>-3.36</v>
      </c>
      <c r="D164" s="98">
        <v>-1.1100000000000001</v>
      </c>
      <c r="E164" s="98">
        <v>1.7024999999999999</v>
      </c>
      <c r="F164" s="88">
        <v>6</v>
      </c>
      <c r="G164" s="108">
        <v>-3.5961700000000001E-7</v>
      </c>
      <c r="H164" s="98">
        <v>-4.86289E-18</v>
      </c>
      <c r="I164" s="81">
        <v>32</v>
      </c>
      <c r="J164" s="80">
        <f t="shared" si="4"/>
        <v>0</v>
      </c>
      <c r="K164" s="97">
        <v>2.49475E-13</v>
      </c>
      <c r="L164" s="98">
        <v>-7.4493900000000001E-18</v>
      </c>
      <c r="M164" s="81">
        <v>5</v>
      </c>
      <c r="N164" s="80">
        <f t="shared" si="5"/>
        <v>0</v>
      </c>
    </row>
    <row r="165" spans="1:14" ht="15.75" thickBot="1" x14ac:dyDescent="0.3">
      <c r="A165" s="57"/>
      <c r="B165" s="1">
        <v>63</v>
      </c>
      <c r="C165" s="98">
        <v>5.78</v>
      </c>
      <c r="D165" s="98">
        <v>-1.81375</v>
      </c>
      <c r="E165" s="98">
        <v>2.4049999999999998</v>
      </c>
      <c r="F165" s="88">
        <v>8</v>
      </c>
      <c r="G165" s="108">
        <v>1.9288399999999999E-8</v>
      </c>
      <c r="H165" s="98">
        <v>-7.4419500000000007E-18</v>
      </c>
      <c r="I165" s="81">
        <v>33</v>
      </c>
      <c r="J165" s="80">
        <f t="shared" si="4"/>
        <v>0</v>
      </c>
      <c r="K165" s="97">
        <v>2.5548600000000002E-13</v>
      </c>
      <c r="L165" s="98">
        <v>-7.4493900000000001E-18</v>
      </c>
      <c r="M165" s="81">
        <v>5</v>
      </c>
      <c r="N165" s="80">
        <f t="shared" si="5"/>
        <v>0</v>
      </c>
    </row>
    <row r="166" spans="1:14" ht="15.75" thickBot="1" x14ac:dyDescent="0.3">
      <c r="A166" s="57"/>
      <c r="B166" s="1">
        <v>64</v>
      </c>
      <c r="C166" s="98">
        <v>-61.81</v>
      </c>
      <c r="D166" s="98">
        <v>-23.366599999999998</v>
      </c>
      <c r="E166" s="98">
        <v>24.6876</v>
      </c>
      <c r="F166" s="88">
        <v>13</v>
      </c>
      <c r="G166" s="108">
        <v>-3.3704600000000001E-7</v>
      </c>
      <c r="H166" s="98">
        <v>-5.1773799999999996E-18</v>
      </c>
      <c r="I166" s="81">
        <v>38</v>
      </c>
      <c r="J166" s="80">
        <f t="shared" si="4"/>
        <v>0</v>
      </c>
      <c r="K166" s="97">
        <v>-1.89018E-4</v>
      </c>
      <c r="L166" s="98">
        <v>7.1454600000000003E-13</v>
      </c>
      <c r="M166" s="81">
        <v>5</v>
      </c>
      <c r="N166" s="80">
        <f t="shared" si="5"/>
        <v>0</v>
      </c>
    </row>
    <row r="167" spans="1:14" ht="15.75" thickBot="1" x14ac:dyDescent="0.3">
      <c r="A167" s="57"/>
      <c r="B167" s="1">
        <v>65</v>
      </c>
      <c r="C167" s="98">
        <v>-99.35</v>
      </c>
      <c r="D167" s="98">
        <v>-41.685000000000002</v>
      </c>
      <c r="E167" s="98">
        <v>30.3963</v>
      </c>
      <c r="F167" s="88">
        <v>14</v>
      </c>
      <c r="G167" s="108">
        <v>1.3655199999999999E-7</v>
      </c>
      <c r="H167" s="98">
        <v>-7.0764600000000003E-18</v>
      </c>
      <c r="I167" s="81">
        <v>39</v>
      </c>
      <c r="J167" s="80">
        <f t="shared" si="4"/>
        <v>0</v>
      </c>
      <c r="K167" s="97">
        <v>-5.6443099999999999</v>
      </c>
      <c r="L167" s="98">
        <v>6.3716499999999998E-4</v>
      </c>
      <c r="M167" s="81">
        <v>4</v>
      </c>
      <c r="N167" s="80">
        <f t="shared" si="5"/>
        <v>0</v>
      </c>
    </row>
    <row r="168" spans="1:14" ht="15.75" thickBot="1" x14ac:dyDescent="0.3">
      <c r="A168" s="57"/>
      <c r="B168" s="1">
        <v>66</v>
      </c>
      <c r="C168" s="98">
        <v>9.93</v>
      </c>
      <c r="D168" s="98">
        <v>-7.1559400000000002</v>
      </c>
      <c r="E168" s="98">
        <v>2.3362500000000002</v>
      </c>
      <c r="F168" s="88">
        <v>10</v>
      </c>
      <c r="G168" s="108">
        <v>-9.8331499999999996E-8</v>
      </c>
      <c r="H168" s="98">
        <v>-7.2560000000000005E-18</v>
      </c>
      <c r="I168" s="81">
        <v>35</v>
      </c>
      <c r="J168" s="80">
        <f t="shared" si="4"/>
        <v>0</v>
      </c>
      <c r="K168" s="97">
        <v>-2.40984</v>
      </c>
      <c r="L168" s="98">
        <v>1.16147E-4</v>
      </c>
      <c r="M168" s="81">
        <v>4</v>
      </c>
      <c r="N168" s="80">
        <f t="shared" si="5"/>
        <v>0</v>
      </c>
    </row>
    <row r="169" spans="1:14" ht="15.75" thickBot="1" x14ac:dyDescent="0.3">
      <c r="A169" s="57"/>
      <c r="B169" s="1">
        <v>67</v>
      </c>
      <c r="C169" s="98">
        <v>-64.89</v>
      </c>
      <c r="D169" s="98">
        <v>-26.4466</v>
      </c>
      <c r="E169" s="98">
        <v>21.607600000000001</v>
      </c>
      <c r="F169" s="88">
        <v>13</v>
      </c>
      <c r="G169" s="108">
        <v>-2.2838299999999999E-7</v>
      </c>
      <c r="H169" s="98">
        <v>-6.4062100000000004E-18</v>
      </c>
      <c r="I169" s="81">
        <v>38</v>
      </c>
      <c r="J169" s="80">
        <f t="shared" si="4"/>
        <v>0</v>
      </c>
      <c r="K169" s="97">
        <v>-2.41954</v>
      </c>
      <c r="L169" s="98">
        <v>1.1708400000000001E-4</v>
      </c>
      <c r="M169" s="81">
        <v>4</v>
      </c>
      <c r="N169" s="80">
        <f t="shared" si="5"/>
        <v>0</v>
      </c>
    </row>
    <row r="170" spans="1:14" ht="15.75" thickBot="1" x14ac:dyDescent="0.3">
      <c r="A170" s="57"/>
      <c r="B170" s="1">
        <v>68</v>
      </c>
      <c r="C170" s="98">
        <v>-49.57</v>
      </c>
      <c r="D170" s="98">
        <v>-11.1266</v>
      </c>
      <c r="E170" s="98">
        <v>36.927599999999998</v>
      </c>
      <c r="F170" s="88">
        <v>13</v>
      </c>
      <c r="G170" s="108">
        <v>-7.8148700000000004E-8</v>
      </c>
      <c r="H170" s="98">
        <v>-7.3272399999999995E-18</v>
      </c>
      <c r="I170" s="81">
        <v>38</v>
      </c>
      <c r="J170" s="80">
        <f t="shared" si="4"/>
        <v>0</v>
      </c>
      <c r="K170" s="97">
        <v>2.3881700000000002E-13</v>
      </c>
      <c r="L170" s="98">
        <v>-7.4493900000000001E-18</v>
      </c>
      <c r="M170" s="81">
        <v>7</v>
      </c>
      <c r="N170" s="80">
        <f t="shared" si="5"/>
        <v>0</v>
      </c>
    </row>
    <row r="171" spans="1:14" ht="15.75" thickBot="1" x14ac:dyDescent="0.3">
      <c r="A171" s="57"/>
      <c r="B171" s="1">
        <v>69</v>
      </c>
      <c r="C171" s="98">
        <v>24.54</v>
      </c>
      <c r="D171" s="98">
        <v>-13.9034</v>
      </c>
      <c r="E171" s="98">
        <v>7.4540600000000001</v>
      </c>
      <c r="F171" s="88">
        <v>12</v>
      </c>
      <c r="G171" s="108">
        <v>-3.0567600000000002E-7</v>
      </c>
      <c r="H171" s="98">
        <v>-5.5806300000000002E-18</v>
      </c>
      <c r="I171" s="81">
        <v>36</v>
      </c>
      <c r="J171" s="80">
        <f t="shared" si="4"/>
        <v>0</v>
      </c>
      <c r="K171" s="97">
        <v>-3.22465</v>
      </c>
      <c r="L171" s="98">
        <v>2.0796700000000001E-4</v>
      </c>
      <c r="M171" s="81">
        <v>4</v>
      </c>
      <c r="N171" s="80">
        <f t="shared" si="5"/>
        <v>0</v>
      </c>
    </row>
    <row r="172" spans="1:14" ht="15.75" thickBot="1" x14ac:dyDescent="0.3">
      <c r="A172" s="57"/>
      <c r="B172" s="1">
        <v>70</v>
      </c>
      <c r="C172" s="98">
        <v>17.149999999999999</v>
      </c>
      <c r="D172" s="98">
        <v>-8.4789100000000008</v>
      </c>
      <c r="E172" s="98">
        <v>5.7593800000000002</v>
      </c>
      <c r="F172" s="88">
        <v>11</v>
      </c>
      <c r="G172" s="108">
        <v>1.3704299999999999E-7</v>
      </c>
      <c r="H172" s="98">
        <v>-7.0737699999999993E-18</v>
      </c>
      <c r="I172" s="81">
        <v>35</v>
      </c>
      <c r="J172" s="80">
        <f t="shared" si="4"/>
        <v>0</v>
      </c>
      <c r="K172" s="97">
        <v>-1.3597699999999999</v>
      </c>
      <c r="L172" s="98">
        <v>3.69793E-5</v>
      </c>
      <c r="M172" s="81">
        <v>4</v>
      </c>
      <c r="N172" s="80">
        <f t="shared" si="5"/>
        <v>0</v>
      </c>
    </row>
    <row r="173" spans="1:14" ht="15.75" thickBot="1" x14ac:dyDescent="0.3">
      <c r="A173" s="57"/>
      <c r="B173" s="1">
        <v>71</v>
      </c>
      <c r="C173" s="98">
        <v>-69.010000000000005</v>
      </c>
      <c r="D173" s="98">
        <v>-30.566600000000001</v>
      </c>
      <c r="E173" s="98">
        <v>17.4876</v>
      </c>
      <c r="F173" s="88">
        <v>13</v>
      </c>
      <c r="G173" s="108">
        <v>-2.21178E-7</v>
      </c>
      <c r="H173" s="98">
        <v>-6.47099E-18</v>
      </c>
      <c r="I173" s="81">
        <v>38</v>
      </c>
      <c r="J173" s="80">
        <f t="shared" si="4"/>
        <v>0</v>
      </c>
      <c r="K173" s="97">
        <v>-6.5395399999999997</v>
      </c>
      <c r="L173" s="98">
        <v>8.55312E-4</v>
      </c>
      <c r="M173" s="81">
        <v>4</v>
      </c>
      <c r="N173" s="80">
        <f t="shared" si="5"/>
        <v>0</v>
      </c>
    </row>
    <row r="174" spans="1:14" ht="15.75" thickBot="1" x14ac:dyDescent="0.3">
      <c r="A174" s="57"/>
      <c r="B174" s="1">
        <v>72</v>
      </c>
      <c r="C174" s="98">
        <v>-80.239999999999995</v>
      </c>
      <c r="D174" s="98">
        <v>-22.574999999999999</v>
      </c>
      <c r="E174" s="98">
        <v>49.506300000000003</v>
      </c>
      <c r="F174" s="88">
        <v>14</v>
      </c>
      <c r="G174" s="108">
        <v>1.57797E-8</v>
      </c>
      <c r="H174" s="98">
        <v>-7.44441E-18</v>
      </c>
      <c r="I174" s="81">
        <v>39</v>
      </c>
      <c r="J174" s="80">
        <f t="shared" si="4"/>
        <v>0</v>
      </c>
      <c r="K174" s="97">
        <v>13.4657</v>
      </c>
      <c r="L174" s="98">
        <v>3.6264999999999999E-3</v>
      </c>
      <c r="M174" s="81">
        <v>4</v>
      </c>
      <c r="N174" s="80">
        <f t="shared" si="5"/>
        <v>0</v>
      </c>
    </row>
    <row r="175" spans="1:14" ht="15.75" thickBot="1" x14ac:dyDescent="0.3">
      <c r="A175" s="57"/>
      <c r="B175" s="1">
        <v>73</v>
      </c>
      <c r="C175" s="98">
        <v>-76.95</v>
      </c>
      <c r="D175" s="98">
        <v>9.5475600000000007</v>
      </c>
      <c r="E175" s="98">
        <v>117.67</v>
      </c>
      <c r="F175" s="88">
        <v>15</v>
      </c>
      <c r="G175" s="108">
        <v>62.726999999999997</v>
      </c>
      <c r="H175" s="98">
        <v>-0.92119799999999996</v>
      </c>
      <c r="I175" s="81">
        <v>40</v>
      </c>
      <c r="J175" s="80">
        <f t="shared" si="4"/>
        <v>1</v>
      </c>
      <c r="K175" s="97">
        <v>63.608499999999999</v>
      </c>
      <c r="L175" s="98">
        <v>-0.90956800000000004</v>
      </c>
      <c r="M175" s="81">
        <v>5</v>
      </c>
      <c r="N175" s="80">
        <f t="shared" si="5"/>
        <v>1</v>
      </c>
    </row>
    <row r="176" spans="1:14" ht="15.75" thickBot="1" x14ac:dyDescent="0.3">
      <c r="A176" s="57"/>
      <c r="B176" s="1">
        <v>74</v>
      </c>
      <c r="C176" s="98">
        <v>65.400000000000006</v>
      </c>
      <c r="D176" s="98">
        <v>62.024999999999999</v>
      </c>
      <c r="E176" s="98">
        <v>63.9</v>
      </c>
      <c r="F176" s="88">
        <v>6</v>
      </c>
      <c r="G176" s="108">
        <v>62.726999999999997</v>
      </c>
      <c r="H176" s="98">
        <v>-0.92119799999999996</v>
      </c>
      <c r="I176" s="81">
        <v>31</v>
      </c>
      <c r="J176" s="80">
        <f t="shared" si="4"/>
        <v>1</v>
      </c>
      <c r="K176" s="97">
        <v>62.726999999999997</v>
      </c>
      <c r="L176" s="98">
        <v>-0.92119799999999996</v>
      </c>
      <c r="M176" s="81">
        <v>7</v>
      </c>
      <c r="N176" s="80">
        <f t="shared" si="5"/>
        <v>1</v>
      </c>
    </row>
    <row r="177" spans="1:14" ht="15.75" thickBot="1" x14ac:dyDescent="0.3">
      <c r="A177" s="57"/>
      <c r="B177" s="1">
        <v>75</v>
      </c>
      <c r="C177" s="98">
        <v>-24.84</v>
      </c>
      <c r="D177" s="98">
        <v>-7.75406</v>
      </c>
      <c r="E177" s="98">
        <v>13.603400000000001</v>
      </c>
      <c r="F177" s="88">
        <v>11</v>
      </c>
      <c r="G177" s="108">
        <v>1.8188000000000001E-7</v>
      </c>
      <c r="H177" s="98">
        <v>-6.7877799999999999E-18</v>
      </c>
      <c r="I177" s="81">
        <v>36</v>
      </c>
      <c r="J177" s="80">
        <f t="shared" si="4"/>
        <v>0</v>
      </c>
      <c r="K177" s="97">
        <v>2.3391099999999998E-13</v>
      </c>
      <c r="L177" s="98">
        <v>-7.4493900000000001E-18</v>
      </c>
      <c r="M177" s="81">
        <v>6</v>
      </c>
      <c r="N177" s="80">
        <f t="shared" si="5"/>
        <v>0</v>
      </c>
    </row>
    <row r="178" spans="1:14" ht="15.75" thickBot="1" x14ac:dyDescent="0.3">
      <c r="A178" s="57"/>
      <c r="B178" s="1">
        <v>76</v>
      </c>
      <c r="C178" s="98">
        <v>-31.94</v>
      </c>
      <c r="D178" s="98">
        <v>-14.854100000000001</v>
      </c>
      <c r="E178" s="98">
        <v>6.5033599999999998</v>
      </c>
      <c r="F178" s="88">
        <v>11</v>
      </c>
      <c r="G178" s="108">
        <v>-9.5705499999999996E-8</v>
      </c>
      <c r="H178" s="98">
        <v>-7.2661899999999994E-18</v>
      </c>
      <c r="I178" s="81">
        <v>36</v>
      </c>
      <c r="J178" s="80">
        <f t="shared" si="4"/>
        <v>0</v>
      </c>
      <c r="K178" s="97">
        <v>-4.1753499999999999</v>
      </c>
      <c r="L178" s="98">
        <v>3.48671E-4</v>
      </c>
      <c r="M178" s="81">
        <v>4</v>
      </c>
      <c r="N178" s="80">
        <f t="shared" si="5"/>
        <v>0</v>
      </c>
    </row>
    <row r="179" spans="1:14" ht="15.75" thickBot="1" x14ac:dyDescent="0.3">
      <c r="A179" s="57"/>
      <c r="B179" s="1">
        <v>77</v>
      </c>
      <c r="C179" s="98">
        <v>99.43</v>
      </c>
      <c r="D179" s="98">
        <v>41.765000000000001</v>
      </c>
      <c r="E179" s="98">
        <v>73.801100000000005</v>
      </c>
      <c r="F179" s="88">
        <v>13</v>
      </c>
      <c r="G179" s="108">
        <v>62.726999999999997</v>
      </c>
      <c r="H179" s="98">
        <v>-0.92119799999999996</v>
      </c>
      <c r="I179" s="81">
        <v>37</v>
      </c>
      <c r="J179" s="80">
        <f t="shared" si="4"/>
        <v>1</v>
      </c>
      <c r="K179" s="97">
        <v>57.783000000000001</v>
      </c>
      <c r="L179" s="98">
        <v>-0.61369499999999999</v>
      </c>
      <c r="M179" s="81">
        <v>4</v>
      </c>
      <c r="N179" s="80">
        <f t="shared" si="5"/>
        <v>0</v>
      </c>
    </row>
    <row r="180" spans="1:14" ht="15.75" thickBot="1" x14ac:dyDescent="0.3">
      <c r="A180" s="57"/>
      <c r="B180" s="1">
        <v>78</v>
      </c>
      <c r="C180" s="98">
        <v>70.61</v>
      </c>
      <c r="D180" s="98">
        <v>59.2194</v>
      </c>
      <c r="E180" s="98">
        <v>65.547499999999999</v>
      </c>
      <c r="F180" s="88">
        <v>9</v>
      </c>
      <c r="G180" s="108">
        <v>62.726999999999997</v>
      </c>
      <c r="H180" s="98">
        <v>-0.92119799999999996</v>
      </c>
      <c r="I180" s="81">
        <v>34</v>
      </c>
      <c r="J180" s="80">
        <f t="shared" si="4"/>
        <v>1</v>
      </c>
      <c r="K180" s="97">
        <v>62.383400000000002</v>
      </c>
      <c r="L180" s="98">
        <v>-0.91942900000000005</v>
      </c>
      <c r="M180" s="81">
        <v>4</v>
      </c>
      <c r="N180" s="80">
        <f t="shared" si="5"/>
        <v>1</v>
      </c>
    </row>
    <row r="181" spans="1:14" ht="15.75" thickBot="1" x14ac:dyDescent="0.3">
      <c r="A181" s="57"/>
      <c r="B181" s="1">
        <v>79</v>
      </c>
      <c r="C181" s="98">
        <v>87.65</v>
      </c>
      <c r="D181" s="98">
        <v>49.206600000000002</v>
      </c>
      <c r="E181" s="98">
        <v>70.564099999999996</v>
      </c>
      <c r="F181" s="88">
        <v>12</v>
      </c>
      <c r="G181" s="108">
        <v>62.726999999999997</v>
      </c>
      <c r="H181" s="98">
        <v>-0.92119799999999996</v>
      </c>
      <c r="I181" s="81">
        <v>36</v>
      </c>
      <c r="J181" s="80">
        <f t="shared" si="4"/>
        <v>1</v>
      </c>
      <c r="K181" s="97">
        <v>59.885399999999997</v>
      </c>
      <c r="L181" s="98">
        <v>-0.80724499999999999</v>
      </c>
      <c r="M181" s="81">
        <v>4</v>
      </c>
      <c r="N181" s="80">
        <f t="shared" si="5"/>
        <v>0</v>
      </c>
    </row>
    <row r="182" spans="1:14" ht="15.75" thickBot="1" x14ac:dyDescent="0.3">
      <c r="A182" s="57"/>
      <c r="B182" s="1">
        <v>80</v>
      </c>
      <c r="C182" s="98">
        <v>-49.12</v>
      </c>
      <c r="D182" s="98">
        <v>-10.676600000000001</v>
      </c>
      <c r="E182" s="98">
        <v>37.377600000000001</v>
      </c>
      <c r="F182" s="88">
        <v>13</v>
      </c>
      <c r="G182" s="108">
        <v>1.99537E-7</v>
      </c>
      <c r="H182" s="98">
        <v>-6.6530899999999999E-18</v>
      </c>
      <c r="I182" s="81">
        <v>38</v>
      </c>
      <c r="J182" s="80">
        <f t="shared" si="4"/>
        <v>0</v>
      </c>
      <c r="K182" s="97">
        <v>2.3391099999999998E-13</v>
      </c>
      <c r="L182" s="98">
        <v>-7.4493900000000001E-18</v>
      </c>
      <c r="M182" s="81">
        <v>7</v>
      </c>
      <c r="N182" s="80">
        <f t="shared" si="5"/>
        <v>0</v>
      </c>
    </row>
    <row r="183" spans="1:14" ht="15.75" thickBot="1" x14ac:dyDescent="0.3">
      <c r="A183" s="57"/>
      <c r="B183" s="1">
        <v>81</v>
      </c>
      <c r="C183" s="98">
        <v>25.32</v>
      </c>
      <c r="D183" s="98">
        <v>-13.1234</v>
      </c>
      <c r="E183" s="98">
        <v>8.2340599999999995</v>
      </c>
      <c r="F183" s="88">
        <v>12</v>
      </c>
      <c r="G183" s="108">
        <v>-3.3743999999999998E-7</v>
      </c>
      <c r="H183" s="98">
        <v>-5.1720699999999996E-18</v>
      </c>
      <c r="I183" s="81">
        <v>36</v>
      </c>
      <c r="J183" s="80">
        <f t="shared" si="4"/>
        <v>0</v>
      </c>
      <c r="K183" s="97">
        <v>-2.4446500000000002</v>
      </c>
      <c r="L183" s="98">
        <v>1.1952599999999999E-4</v>
      </c>
      <c r="M183" s="81">
        <v>4</v>
      </c>
      <c r="N183" s="80">
        <f t="shared" si="5"/>
        <v>0</v>
      </c>
    </row>
    <row r="184" spans="1:14" ht="15.75" thickBot="1" x14ac:dyDescent="0.3">
      <c r="A184" s="57"/>
      <c r="B184" s="1">
        <v>82</v>
      </c>
      <c r="C184" s="98">
        <v>-69.63</v>
      </c>
      <c r="D184" s="98">
        <v>-31.186599999999999</v>
      </c>
      <c r="E184" s="98">
        <v>16.867599999999999</v>
      </c>
      <c r="F184" s="88">
        <v>13</v>
      </c>
      <c r="G184" s="108">
        <v>-1.6476800000000001E-7</v>
      </c>
      <c r="H184" s="98">
        <v>-6.90642E-18</v>
      </c>
      <c r="I184" s="81">
        <v>38</v>
      </c>
      <c r="J184" s="80">
        <f t="shared" si="4"/>
        <v>0</v>
      </c>
      <c r="K184" s="97">
        <v>-7.1595399999999998</v>
      </c>
      <c r="L184" s="98">
        <v>1.0251800000000001E-3</v>
      </c>
      <c r="M184" s="81">
        <v>4</v>
      </c>
      <c r="N184" s="80">
        <f t="shared" si="5"/>
        <v>0</v>
      </c>
    </row>
    <row r="185" spans="1:14" ht="15.75" thickBot="1" x14ac:dyDescent="0.3">
      <c r="A185" s="57"/>
      <c r="B185" s="1">
        <v>83</v>
      </c>
      <c r="C185" s="98">
        <v>48.48</v>
      </c>
      <c r="D185" s="98">
        <v>56.073700000000002</v>
      </c>
      <c r="E185" s="98">
        <v>65.565899999999999</v>
      </c>
      <c r="F185" s="88">
        <v>9</v>
      </c>
      <c r="G185" s="108">
        <v>62.726999999999997</v>
      </c>
      <c r="H185" s="98">
        <v>-0.92119799999999996</v>
      </c>
      <c r="I185" s="81">
        <v>35</v>
      </c>
      <c r="J185" s="80">
        <f t="shared" si="4"/>
        <v>1</v>
      </c>
      <c r="K185" s="97">
        <v>60.819800000000001</v>
      </c>
      <c r="L185" s="98">
        <v>-0.86817</v>
      </c>
      <c r="M185" s="81">
        <v>4</v>
      </c>
      <c r="N185" s="80">
        <f t="shared" si="5"/>
        <v>1</v>
      </c>
    </row>
    <row r="186" spans="1:14" ht="15.75" thickBot="1" x14ac:dyDescent="0.3">
      <c r="A186" s="57"/>
      <c r="B186" s="1">
        <v>84</v>
      </c>
      <c r="C186" s="98">
        <v>35.19</v>
      </c>
      <c r="D186" s="98">
        <v>-22.475000000000001</v>
      </c>
      <c r="E186" s="98">
        <v>9.5610900000000001</v>
      </c>
      <c r="F186" s="88">
        <v>13</v>
      </c>
      <c r="G186" s="108">
        <v>9.7800000000000002E-8</v>
      </c>
      <c r="H186" s="98">
        <v>-7.2580900000000002E-18</v>
      </c>
      <c r="I186" s="81">
        <v>37</v>
      </c>
      <c r="J186" s="80">
        <f t="shared" si="4"/>
        <v>0</v>
      </c>
      <c r="K186" s="97">
        <v>-6.4569700000000001</v>
      </c>
      <c r="L186" s="98">
        <v>8.3385000000000002E-4</v>
      </c>
      <c r="M186" s="81">
        <v>4</v>
      </c>
      <c r="N186" s="80">
        <f t="shared" si="5"/>
        <v>0</v>
      </c>
    </row>
    <row r="187" spans="1:14" ht="15.75" thickBot="1" x14ac:dyDescent="0.3">
      <c r="A187" s="57"/>
      <c r="B187" s="1">
        <v>85</v>
      </c>
      <c r="C187" s="98">
        <v>21.07</v>
      </c>
      <c r="D187" s="98">
        <v>-4.55891</v>
      </c>
      <c r="E187" s="98">
        <v>9.6793700000000005</v>
      </c>
      <c r="F187" s="88">
        <v>11</v>
      </c>
      <c r="G187" s="108">
        <v>-5.6500699999999997E-10</v>
      </c>
      <c r="H187" s="98">
        <v>-7.4493800000000003E-18</v>
      </c>
      <c r="I187" s="81">
        <v>35</v>
      </c>
      <c r="J187" s="80">
        <f t="shared" si="4"/>
        <v>0</v>
      </c>
      <c r="K187" s="97">
        <v>1.0198999999999999E-12</v>
      </c>
      <c r="L187" s="98">
        <v>-7.4493900000000001E-18</v>
      </c>
      <c r="M187" s="81">
        <v>5</v>
      </c>
      <c r="N187" s="80">
        <f t="shared" si="5"/>
        <v>0</v>
      </c>
    </row>
    <row r="188" spans="1:14" ht="15.75" thickBot="1" x14ac:dyDescent="0.3">
      <c r="A188" s="57"/>
      <c r="B188" s="1">
        <v>86</v>
      </c>
      <c r="C188" s="98">
        <v>-67.209999999999994</v>
      </c>
      <c r="D188" s="98">
        <v>-28.7666</v>
      </c>
      <c r="E188" s="98">
        <v>19.287600000000001</v>
      </c>
      <c r="F188" s="88">
        <v>13</v>
      </c>
      <c r="G188" s="108">
        <v>1.2975300000000001E-7</v>
      </c>
      <c r="H188" s="98">
        <v>-7.1126699999999999E-18</v>
      </c>
      <c r="I188" s="81">
        <v>38</v>
      </c>
      <c r="J188" s="80">
        <f t="shared" si="4"/>
        <v>0</v>
      </c>
      <c r="K188" s="97">
        <v>-4.7395399999999999</v>
      </c>
      <c r="L188" s="98">
        <v>4.4926500000000002E-4</v>
      </c>
      <c r="M188" s="81">
        <v>4</v>
      </c>
      <c r="N188" s="80">
        <f t="shared" si="5"/>
        <v>0</v>
      </c>
    </row>
    <row r="189" spans="1:14" ht="15.75" thickBot="1" x14ac:dyDescent="0.3">
      <c r="A189" s="57"/>
      <c r="B189" s="1">
        <v>87</v>
      </c>
      <c r="C189" s="98">
        <v>-7.1</v>
      </c>
      <c r="D189" s="98">
        <v>-2.0375000000000001</v>
      </c>
      <c r="E189" s="98">
        <v>4.2906300000000002</v>
      </c>
      <c r="F189" s="88">
        <v>8</v>
      </c>
      <c r="G189" s="108">
        <v>7.4505799999999995E-8</v>
      </c>
      <c r="H189" s="98">
        <v>-7.3383600000000004E-18</v>
      </c>
      <c r="I189" s="81">
        <v>34</v>
      </c>
      <c r="J189" s="80">
        <f t="shared" si="4"/>
        <v>0</v>
      </c>
      <c r="K189" s="97">
        <v>3.5364899999999999E-13</v>
      </c>
      <c r="L189" s="98">
        <v>-7.4493900000000001E-18</v>
      </c>
      <c r="M189" s="81">
        <v>5</v>
      </c>
      <c r="N189" s="80">
        <f t="shared" si="5"/>
        <v>0</v>
      </c>
    </row>
    <row r="190" spans="1:14" ht="15.75" thickBot="1" x14ac:dyDescent="0.3">
      <c r="A190" s="57"/>
      <c r="B190" s="1">
        <v>88</v>
      </c>
      <c r="C190" s="98">
        <v>86.81</v>
      </c>
      <c r="D190" s="98">
        <v>48.366599999999998</v>
      </c>
      <c r="E190" s="98">
        <v>69.724100000000007</v>
      </c>
      <c r="F190" s="88">
        <v>12</v>
      </c>
      <c r="G190" s="108">
        <v>62.726999999999997</v>
      </c>
      <c r="H190" s="98">
        <v>-0.92119799999999996</v>
      </c>
      <c r="I190" s="81">
        <v>36</v>
      </c>
      <c r="J190" s="80">
        <f t="shared" si="4"/>
        <v>1</v>
      </c>
      <c r="K190" s="97">
        <v>59.045400000000001</v>
      </c>
      <c r="L190" s="98">
        <v>-0.737263</v>
      </c>
      <c r="M190" s="81">
        <v>4</v>
      </c>
      <c r="N190" s="80">
        <f t="shared" si="5"/>
        <v>0</v>
      </c>
    </row>
    <row r="191" spans="1:14" ht="15.75" thickBot="1" x14ac:dyDescent="0.3">
      <c r="A191" s="57"/>
      <c r="B191" s="1">
        <v>89</v>
      </c>
      <c r="C191" s="98">
        <v>-33.83</v>
      </c>
      <c r="D191" s="98">
        <v>-8.2010900000000007</v>
      </c>
      <c r="E191" s="98">
        <v>23.835000000000001</v>
      </c>
      <c r="F191" s="88">
        <v>12</v>
      </c>
      <c r="G191" s="108">
        <v>3.1220299999999998E-7</v>
      </c>
      <c r="H191" s="98">
        <v>-5.49997E-18</v>
      </c>
      <c r="I191" s="81">
        <v>37</v>
      </c>
      <c r="J191" s="80">
        <f t="shared" si="4"/>
        <v>0</v>
      </c>
      <c r="K191" s="97">
        <v>-3.4626800000000002E-6</v>
      </c>
      <c r="L191" s="98">
        <v>2.3235399999999999E-16</v>
      </c>
      <c r="M191" s="81">
        <v>5</v>
      </c>
      <c r="N191" s="80">
        <f t="shared" si="5"/>
        <v>0</v>
      </c>
    </row>
    <row r="192" spans="1:14" ht="15.75" thickBot="1" x14ac:dyDescent="0.3">
      <c r="A192" s="57"/>
      <c r="B192" s="1">
        <v>90</v>
      </c>
      <c r="C192" s="98">
        <v>44.65</v>
      </c>
      <c r="D192" s="98">
        <v>-13.015000000000001</v>
      </c>
      <c r="E192" s="98">
        <v>19.021100000000001</v>
      </c>
      <c r="F192" s="88">
        <v>13</v>
      </c>
      <c r="G192" s="108">
        <v>-2.7248099999999999E-8</v>
      </c>
      <c r="H192" s="98">
        <v>-7.4345400000000005E-18</v>
      </c>
      <c r="I192" s="81">
        <v>37</v>
      </c>
      <c r="J192" s="80">
        <f t="shared" si="4"/>
        <v>0</v>
      </c>
      <c r="K192" s="97">
        <v>-7.5304200000000003E-7</v>
      </c>
      <c r="L192" s="98">
        <v>3.89205E-18</v>
      </c>
      <c r="M192" s="81">
        <v>5</v>
      </c>
      <c r="N192" s="80">
        <f t="shared" si="5"/>
        <v>0</v>
      </c>
    </row>
    <row r="193" spans="1:14" ht="15.75" thickBot="1" x14ac:dyDescent="0.3">
      <c r="A193" s="57"/>
      <c r="B193" s="1">
        <v>91</v>
      </c>
      <c r="C193" s="98">
        <v>-99.34</v>
      </c>
      <c r="D193" s="98">
        <v>-41.674999999999997</v>
      </c>
      <c r="E193" s="98">
        <v>30.406300000000002</v>
      </c>
      <c r="F193" s="88">
        <v>14</v>
      </c>
      <c r="G193" s="108">
        <v>1.6929300000000001E-7</v>
      </c>
      <c r="H193" s="98">
        <v>-6.8761800000000002E-18</v>
      </c>
      <c r="I193" s="81">
        <v>39</v>
      </c>
      <c r="J193" s="80">
        <f t="shared" si="4"/>
        <v>0</v>
      </c>
      <c r="K193" s="97">
        <v>-5.6343100000000002</v>
      </c>
      <c r="L193" s="98">
        <v>6.3490900000000002E-4</v>
      </c>
      <c r="M193" s="81">
        <v>4</v>
      </c>
      <c r="N193" s="80">
        <f t="shared" si="5"/>
        <v>0</v>
      </c>
    </row>
    <row r="194" spans="1:14" ht="15.75" thickBot="1" x14ac:dyDescent="0.3">
      <c r="A194" s="57"/>
      <c r="B194" s="1">
        <v>92</v>
      </c>
      <c r="C194" s="98">
        <v>5.01</v>
      </c>
      <c r="D194" s="98">
        <v>-2.5837500000000002</v>
      </c>
      <c r="E194" s="98">
        <v>1.635</v>
      </c>
      <c r="F194" s="88">
        <v>8</v>
      </c>
      <c r="G194" s="108">
        <v>-3.4061700000000001E-7</v>
      </c>
      <c r="H194" s="98">
        <v>-5.12898E-18</v>
      </c>
      <c r="I194" s="81">
        <v>33</v>
      </c>
      <c r="J194" s="80">
        <f t="shared" si="4"/>
        <v>0</v>
      </c>
      <c r="K194" s="97">
        <v>-0.47437499999999999</v>
      </c>
      <c r="L194" s="98">
        <v>4.5006300000000001E-6</v>
      </c>
      <c r="M194" s="81">
        <v>4</v>
      </c>
      <c r="N194" s="80">
        <f t="shared" si="5"/>
        <v>0</v>
      </c>
    </row>
    <row r="195" spans="1:14" ht="15.75" thickBot="1" x14ac:dyDescent="0.3">
      <c r="A195" s="57"/>
      <c r="B195" s="1">
        <v>93</v>
      </c>
      <c r="C195" s="98">
        <v>10.98</v>
      </c>
      <c r="D195" s="98">
        <v>-6.1059400000000004</v>
      </c>
      <c r="E195" s="98">
        <v>3.38625</v>
      </c>
      <c r="F195" s="88">
        <v>10</v>
      </c>
      <c r="G195" s="108">
        <v>-1.06808E-7</v>
      </c>
      <c r="H195" s="98">
        <v>-7.2212300000000005E-18</v>
      </c>
      <c r="I195" s="81">
        <v>35</v>
      </c>
      <c r="J195" s="80">
        <f t="shared" si="4"/>
        <v>0</v>
      </c>
      <c r="K195" s="97">
        <v>-1.3598399999999999</v>
      </c>
      <c r="L195" s="98">
        <v>3.6983500000000003E-5</v>
      </c>
      <c r="M195" s="81">
        <v>4</v>
      </c>
      <c r="N195" s="80">
        <f t="shared" si="5"/>
        <v>0</v>
      </c>
    </row>
    <row r="196" spans="1:14" ht="15.75" thickBot="1" x14ac:dyDescent="0.3">
      <c r="A196" s="57"/>
      <c r="B196" s="1">
        <v>94</v>
      </c>
      <c r="C196" s="98">
        <v>-76.5</v>
      </c>
      <c r="D196" s="98">
        <v>9.99756</v>
      </c>
      <c r="E196" s="98">
        <v>118.12</v>
      </c>
      <c r="F196" s="88">
        <v>15</v>
      </c>
      <c r="G196" s="108">
        <v>62.726999999999997</v>
      </c>
      <c r="H196" s="98">
        <v>-0.92119799999999996</v>
      </c>
      <c r="I196" s="81">
        <v>40</v>
      </c>
      <c r="J196" s="80">
        <f t="shared" ref="J196:J259" si="6">IF(G196&lt;60,0,1)</f>
        <v>1</v>
      </c>
      <c r="K196" s="97">
        <v>64.058499999999995</v>
      </c>
      <c r="L196" s="98">
        <v>-0.89481999999999995</v>
      </c>
      <c r="M196" s="81">
        <v>5</v>
      </c>
      <c r="N196" s="80">
        <f t="shared" ref="N196:N259" si="7">IF(K196&lt;60,0,1)</f>
        <v>1</v>
      </c>
    </row>
    <row r="197" spans="1:14" ht="15.75" thickBot="1" x14ac:dyDescent="0.3">
      <c r="A197" s="57"/>
      <c r="B197" s="1">
        <v>95</v>
      </c>
      <c r="C197" s="98">
        <v>-5.82</v>
      </c>
      <c r="D197" s="98">
        <v>-2.4449999999999998</v>
      </c>
      <c r="E197" s="98">
        <v>1.7737499999999999</v>
      </c>
      <c r="F197" s="88">
        <v>7</v>
      </c>
      <c r="G197" s="108">
        <v>1.1573100000000001E-7</v>
      </c>
      <c r="H197" s="98">
        <v>-7.1815099999999996E-18</v>
      </c>
      <c r="I197" s="81">
        <v>33</v>
      </c>
      <c r="J197" s="80">
        <f t="shared" si="6"/>
        <v>0</v>
      </c>
      <c r="K197" s="97">
        <v>-0.33562500000000001</v>
      </c>
      <c r="L197" s="98">
        <v>2.2528799999999999E-6</v>
      </c>
      <c r="M197" s="81">
        <v>4</v>
      </c>
      <c r="N197" s="80">
        <f t="shared" si="7"/>
        <v>0</v>
      </c>
    </row>
    <row r="198" spans="1:14" ht="15.75" thickBot="1" x14ac:dyDescent="0.3">
      <c r="A198" s="57"/>
      <c r="B198" s="1">
        <v>96</v>
      </c>
      <c r="C198" s="98">
        <v>-47.86</v>
      </c>
      <c r="D198" s="98">
        <v>-22.231100000000001</v>
      </c>
      <c r="E198" s="98">
        <v>9.80504</v>
      </c>
      <c r="F198" s="88">
        <v>12</v>
      </c>
      <c r="G198" s="108">
        <v>-3.9209699999999999E-7</v>
      </c>
      <c r="H198" s="98">
        <v>-4.3745800000000003E-18</v>
      </c>
      <c r="I198" s="81">
        <v>37</v>
      </c>
      <c r="J198" s="80">
        <f t="shared" si="6"/>
        <v>0</v>
      </c>
      <c r="K198" s="97">
        <v>-6.2130299999999998</v>
      </c>
      <c r="L198" s="98">
        <v>7.72034E-4</v>
      </c>
      <c r="M198" s="81">
        <v>4</v>
      </c>
      <c r="N198" s="80">
        <f t="shared" si="7"/>
        <v>0</v>
      </c>
    </row>
    <row r="199" spans="1:14" ht="15.75" thickBot="1" x14ac:dyDescent="0.3">
      <c r="A199" s="57"/>
      <c r="B199" s="1">
        <v>97</v>
      </c>
      <c r="C199" s="98">
        <v>-73.459999999999994</v>
      </c>
      <c r="D199" s="98">
        <v>13.037599999999999</v>
      </c>
      <c r="E199" s="98">
        <v>121.16</v>
      </c>
      <c r="F199" s="88">
        <v>15</v>
      </c>
      <c r="G199" s="108">
        <v>62.726999999999997</v>
      </c>
      <c r="H199" s="98">
        <v>-0.92119799999999996</v>
      </c>
      <c r="I199" s="81">
        <v>40</v>
      </c>
      <c r="J199" s="80">
        <f t="shared" si="6"/>
        <v>1</v>
      </c>
      <c r="K199" s="97">
        <v>62.287500000000001</v>
      </c>
      <c r="L199" s="98">
        <v>-0.91830500000000004</v>
      </c>
      <c r="M199" s="81">
        <v>7</v>
      </c>
      <c r="N199" s="80">
        <f t="shared" si="7"/>
        <v>1</v>
      </c>
    </row>
    <row r="200" spans="1:14" ht="15.75" thickBot="1" x14ac:dyDescent="0.3">
      <c r="A200" s="57"/>
      <c r="B200" s="1">
        <v>98</v>
      </c>
      <c r="C200" s="98">
        <v>-86.33</v>
      </c>
      <c r="D200" s="98">
        <v>-28.664999999999999</v>
      </c>
      <c r="E200" s="98">
        <v>43.4163</v>
      </c>
      <c r="F200" s="88">
        <v>14</v>
      </c>
      <c r="G200" s="108">
        <v>-2.0116499999999999E-7</v>
      </c>
      <c r="H200" s="98">
        <v>-6.6400399999999998E-18</v>
      </c>
      <c r="I200" s="81">
        <v>39</v>
      </c>
      <c r="J200" s="80">
        <f t="shared" si="6"/>
        <v>0</v>
      </c>
      <c r="K200" s="97">
        <v>-1.4904200000000001</v>
      </c>
      <c r="L200" s="98">
        <v>4.4427E-5</v>
      </c>
      <c r="M200" s="81">
        <v>5</v>
      </c>
      <c r="N200" s="80">
        <f t="shared" si="7"/>
        <v>0</v>
      </c>
    </row>
    <row r="201" spans="1:14" ht="15.75" thickBot="1" x14ac:dyDescent="0.3">
      <c r="A201" s="57"/>
      <c r="B201" s="1">
        <v>99</v>
      </c>
      <c r="C201" s="98">
        <v>15.05</v>
      </c>
      <c r="D201" s="98">
        <v>-10.578900000000001</v>
      </c>
      <c r="E201" s="98">
        <v>3.65937</v>
      </c>
      <c r="F201" s="88">
        <v>11</v>
      </c>
      <c r="G201" s="108">
        <v>-1.6388599999999999E-7</v>
      </c>
      <c r="H201" s="98">
        <v>-6.9122200000000003E-18</v>
      </c>
      <c r="I201" s="81">
        <v>35</v>
      </c>
      <c r="J201" s="80">
        <f t="shared" si="6"/>
        <v>0</v>
      </c>
      <c r="K201" s="97">
        <v>-3.4597699999999998</v>
      </c>
      <c r="L201" s="98">
        <v>2.3939999999999999E-4</v>
      </c>
      <c r="M201" s="81">
        <v>4</v>
      </c>
      <c r="N201" s="80">
        <f t="shared" si="7"/>
        <v>0</v>
      </c>
    </row>
    <row r="202" spans="1:14" ht="15.75" thickBot="1" x14ac:dyDescent="0.3">
      <c r="A202" s="60"/>
      <c r="B202" s="20">
        <v>100</v>
      </c>
      <c r="C202" s="106">
        <v>15.9</v>
      </c>
      <c r="D202" s="106">
        <v>-9.7289100000000008</v>
      </c>
      <c r="E202" s="106">
        <v>4.5093800000000002</v>
      </c>
      <c r="F202" s="91">
        <v>11</v>
      </c>
      <c r="G202" s="111">
        <v>2.0768299999999999E-7</v>
      </c>
      <c r="H202" s="106">
        <v>-6.5867400000000003E-18</v>
      </c>
      <c r="I202" s="84">
        <v>35</v>
      </c>
      <c r="J202" s="80">
        <f t="shared" si="6"/>
        <v>0</v>
      </c>
      <c r="K202" s="105">
        <v>-2.6097700000000001</v>
      </c>
      <c r="L202" s="106">
        <v>1.3621799999999999E-4</v>
      </c>
      <c r="M202" s="84">
        <v>4</v>
      </c>
      <c r="N202" s="80">
        <f t="shared" si="7"/>
        <v>0</v>
      </c>
    </row>
    <row r="203" spans="1:14" ht="15.75" thickBot="1" x14ac:dyDescent="0.3">
      <c r="A203" s="56"/>
      <c r="B203" s="15">
        <v>1</v>
      </c>
      <c r="C203" s="102">
        <v>-89.95</v>
      </c>
      <c r="D203" s="102">
        <v>-57.95</v>
      </c>
      <c r="E203" s="102">
        <v>38.049999999999997</v>
      </c>
      <c r="F203" s="87">
        <v>9</v>
      </c>
      <c r="G203" s="107">
        <v>-2.5651200000000001E-7</v>
      </c>
      <c r="H203" s="102">
        <v>-6.1334099999999998E-18</v>
      </c>
      <c r="I203" s="80">
        <v>39</v>
      </c>
      <c r="J203" s="80">
        <f t="shared" si="6"/>
        <v>0</v>
      </c>
      <c r="K203" s="101">
        <v>-9.9499999999999993</v>
      </c>
      <c r="L203" s="102">
        <v>1.9800500000000001E-3</v>
      </c>
      <c r="M203" s="80">
        <v>4</v>
      </c>
      <c r="N203" s="80">
        <f t="shared" si="7"/>
        <v>0</v>
      </c>
    </row>
    <row r="204" spans="1:14" ht="15.75" thickBot="1" x14ac:dyDescent="0.3">
      <c r="A204" s="57"/>
      <c r="B204" s="1">
        <v>2</v>
      </c>
      <c r="C204" s="98">
        <v>-95.31</v>
      </c>
      <c r="D204" s="98">
        <v>-63.31</v>
      </c>
      <c r="E204" s="98">
        <v>32.69</v>
      </c>
      <c r="F204" s="88">
        <v>9</v>
      </c>
      <c r="G204" s="108">
        <v>-2.4478499999999998E-7</v>
      </c>
      <c r="H204" s="98">
        <v>-6.2509900000000004E-18</v>
      </c>
      <c r="I204" s="81">
        <v>39</v>
      </c>
      <c r="J204" s="80">
        <f t="shared" si="6"/>
        <v>0</v>
      </c>
      <c r="K204" s="97">
        <v>-15.31</v>
      </c>
      <c r="L204" s="98">
        <v>4.6879199999999999E-3</v>
      </c>
      <c r="M204" s="81">
        <v>4</v>
      </c>
      <c r="N204" s="80">
        <f t="shared" si="7"/>
        <v>0</v>
      </c>
    </row>
    <row r="205" spans="1:14" ht="15.75" thickBot="1" x14ac:dyDescent="0.3">
      <c r="A205" s="57"/>
      <c r="B205" s="1">
        <v>3</v>
      </c>
      <c r="C205" s="98">
        <v>-40.25</v>
      </c>
      <c r="D205" s="98">
        <v>-24.25</v>
      </c>
      <c r="E205" s="98">
        <v>23.75</v>
      </c>
      <c r="F205" s="88">
        <v>8</v>
      </c>
      <c r="G205" s="108">
        <v>-1.3439600000000001E-7</v>
      </c>
      <c r="H205" s="98">
        <v>-7.0881400000000006E-18</v>
      </c>
      <c r="I205" s="81">
        <v>38</v>
      </c>
      <c r="J205" s="80">
        <f t="shared" si="6"/>
        <v>0</v>
      </c>
      <c r="K205" s="97">
        <v>-0.25</v>
      </c>
      <c r="L205" s="98">
        <v>1.2500000000000001E-6</v>
      </c>
      <c r="M205" s="81">
        <v>4</v>
      </c>
      <c r="N205" s="80">
        <f t="shared" si="7"/>
        <v>0</v>
      </c>
    </row>
    <row r="206" spans="1:14" ht="15.75" thickBot="1" x14ac:dyDescent="0.3">
      <c r="A206" s="57"/>
      <c r="B206" s="1">
        <v>4</v>
      </c>
      <c r="C206" s="98">
        <v>47.65</v>
      </c>
      <c r="D206" s="98">
        <v>55.65</v>
      </c>
      <c r="E206" s="98">
        <v>79.650000000000006</v>
      </c>
      <c r="F206" s="88">
        <v>7</v>
      </c>
      <c r="G206" s="108">
        <v>62.726999999999997</v>
      </c>
      <c r="H206" s="98">
        <v>-0.92119799999999996</v>
      </c>
      <c r="I206" s="81">
        <v>36</v>
      </c>
      <c r="J206" s="80">
        <f t="shared" si="6"/>
        <v>1</v>
      </c>
      <c r="K206" s="97">
        <v>62.436199999999999</v>
      </c>
      <c r="L206" s="98">
        <v>-0.91993000000000003</v>
      </c>
      <c r="M206" s="81">
        <v>6</v>
      </c>
      <c r="N206" s="80">
        <f t="shared" si="7"/>
        <v>1</v>
      </c>
    </row>
    <row r="207" spans="1:14" ht="15.75" thickBot="1" x14ac:dyDescent="0.3">
      <c r="A207" s="57"/>
      <c r="B207" s="1">
        <v>5</v>
      </c>
      <c r="C207" s="98">
        <v>48.88</v>
      </c>
      <c r="D207" s="98">
        <v>56.88</v>
      </c>
      <c r="E207" s="98">
        <v>80.88</v>
      </c>
      <c r="F207" s="88">
        <v>7</v>
      </c>
      <c r="G207" s="108">
        <v>62.726999999999997</v>
      </c>
      <c r="H207" s="98">
        <v>-0.92119799999999996</v>
      </c>
      <c r="I207" s="81">
        <v>36</v>
      </c>
      <c r="J207" s="80">
        <f t="shared" si="6"/>
        <v>1</v>
      </c>
      <c r="K207" s="97">
        <v>61.928899999999999</v>
      </c>
      <c r="L207" s="98">
        <v>-0.91169299999999998</v>
      </c>
      <c r="M207" s="81">
        <v>5</v>
      </c>
      <c r="N207" s="80">
        <f t="shared" si="7"/>
        <v>1</v>
      </c>
    </row>
    <row r="208" spans="1:14" ht="15.75" thickBot="1" x14ac:dyDescent="0.3">
      <c r="A208" s="57"/>
      <c r="B208" s="1">
        <v>6</v>
      </c>
      <c r="C208" s="98">
        <v>-53.74</v>
      </c>
      <c r="D208" s="98">
        <v>10.26</v>
      </c>
      <c r="E208" s="98">
        <v>202.26</v>
      </c>
      <c r="F208" s="88">
        <v>10</v>
      </c>
      <c r="G208" s="108">
        <v>62.726999999999997</v>
      </c>
      <c r="H208" s="98">
        <v>-0.92119799999999996</v>
      </c>
      <c r="I208" s="81">
        <v>41</v>
      </c>
      <c r="J208" s="80">
        <f t="shared" si="6"/>
        <v>1</v>
      </c>
      <c r="K208" s="97">
        <v>106.26</v>
      </c>
      <c r="L208" s="98">
        <v>0.225824</v>
      </c>
      <c r="M208" s="81">
        <v>4</v>
      </c>
      <c r="N208" s="80">
        <f t="shared" si="7"/>
        <v>1</v>
      </c>
    </row>
    <row r="209" spans="1:14" ht="15.75" thickBot="1" x14ac:dyDescent="0.3">
      <c r="A209" s="57"/>
      <c r="B209" s="1">
        <v>7</v>
      </c>
      <c r="C209" s="98">
        <v>95.07</v>
      </c>
      <c r="D209" s="98">
        <v>31.07</v>
      </c>
      <c r="E209" s="98">
        <v>79.069999999999993</v>
      </c>
      <c r="F209" s="88">
        <v>9</v>
      </c>
      <c r="G209" s="108">
        <v>62.726999999999997</v>
      </c>
      <c r="H209" s="98">
        <v>-0.92119799999999996</v>
      </c>
      <c r="I209" s="81">
        <v>38</v>
      </c>
      <c r="J209" s="80">
        <f t="shared" si="6"/>
        <v>1</v>
      </c>
      <c r="K209" s="97">
        <v>55.07</v>
      </c>
      <c r="L209" s="98">
        <v>-0.33194200000000001</v>
      </c>
      <c r="M209" s="81">
        <v>5</v>
      </c>
      <c r="N209" s="80">
        <f t="shared" si="7"/>
        <v>0</v>
      </c>
    </row>
    <row r="210" spans="1:14" ht="15.75" thickBot="1" x14ac:dyDescent="0.3">
      <c r="A210" s="57"/>
      <c r="B210" s="1">
        <v>8</v>
      </c>
      <c r="C210" s="98">
        <v>18.739999999999998</v>
      </c>
      <c r="D210" s="98">
        <v>-13.26</v>
      </c>
      <c r="E210" s="98">
        <v>10.74</v>
      </c>
      <c r="F210" s="88">
        <v>8</v>
      </c>
      <c r="G210" s="108">
        <v>1.06797E-7</v>
      </c>
      <c r="H210" s="98">
        <v>-7.2212699999999995E-18</v>
      </c>
      <c r="I210" s="81">
        <v>36</v>
      </c>
      <c r="J210" s="80">
        <f t="shared" si="6"/>
        <v>0</v>
      </c>
      <c r="K210" s="97">
        <v>-1.26</v>
      </c>
      <c r="L210" s="98">
        <v>3.1751999999999997E-5</v>
      </c>
      <c r="M210" s="81">
        <v>4</v>
      </c>
      <c r="N210" s="80">
        <f t="shared" si="7"/>
        <v>0</v>
      </c>
    </row>
    <row r="211" spans="1:14" ht="15.75" thickBot="1" x14ac:dyDescent="0.3">
      <c r="A211" s="57"/>
      <c r="B211" s="1">
        <v>9</v>
      </c>
      <c r="C211" s="98">
        <v>-49.9</v>
      </c>
      <c r="D211" s="98">
        <v>-17.899999999999999</v>
      </c>
      <c r="E211" s="98">
        <v>78.099999999999994</v>
      </c>
      <c r="F211" s="88">
        <v>9</v>
      </c>
      <c r="G211" s="108">
        <v>1.46577E-8</v>
      </c>
      <c r="H211" s="98">
        <v>-7.4450899999999993E-18</v>
      </c>
      <c r="I211" s="81">
        <v>39</v>
      </c>
      <c r="J211" s="80">
        <f t="shared" si="6"/>
        <v>0</v>
      </c>
      <c r="K211" s="97">
        <v>-0.30912499999999998</v>
      </c>
      <c r="L211" s="98">
        <v>1.91117E-6</v>
      </c>
      <c r="M211" s="81">
        <v>5</v>
      </c>
      <c r="N211" s="80">
        <f t="shared" si="7"/>
        <v>0</v>
      </c>
    </row>
    <row r="212" spans="1:14" ht="15.75" thickBot="1" x14ac:dyDescent="0.3">
      <c r="A212" s="57"/>
      <c r="B212" s="1">
        <v>10</v>
      </c>
      <c r="C212" s="98">
        <v>85.53</v>
      </c>
      <c r="D212" s="98">
        <v>53.53</v>
      </c>
      <c r="E212" s="98">
        <v>77.53</v>
      </c>
      <c r="F212" s="88">
        <v>8</v>
      </c>
      <c r="G212" s="108">
        <v>62.726999999999997</v>
      </c>
      <c r="H212" s="98">
        <v>-0.92119799999999996</v>
      </c>
      <c r="I212" s="81">
        <v>36</v>
      </c>
      <c r="J212" s="80">
        <f t="shared" si="6"/>
        <v>1</v>
      </c>
      <c r="K212" s="97">
        <v>61.968200000000003</v>
      </c>
      <c r="L212" s="98">
        <v>-0.91260300000000005</v>
      </c>
      <c r="M212" s="81">
        <v>6</v>
      </c>
      <c r="N212" s="80">
        <f t="shared" si="7"/>
        <v>1</v>
      </c>
    </row>
    <row r="213" spans="1:14" ht="15.75" thickBot="1" x14ac:dyDescent="0.3">
      <c r="A213" s="57"/>
      <c r="B213" s="1">
        <v>11</v>
      </c>
      <c r="C213" s="98">
        <v>-4.46</v>
      </c>
      <c r="D213" s="98">
        <v>-2.46</v>
      </c>
      <c r="E213" s="98">
        <v>3.54</v>
      </c>
      <c r="F213" s="88">
        <v>5</v>
      </c>
      <c r="G213" s="108">
        <v>2.27581E-7</v>
      </c>
      <c r="H213" s="98">
        <v>-6.4135200000000001E-18</v>
      </c>
      <c r="I213" s="81">
        <v>34</v>
      </c>
      <c r="J213" s="80">
        <f t="shared" si="6"/>
        <v>0</v>
      </c>
      <c r="K213" s="97">
        <v>2.8497300000000001E-13</v>
      </c>
      <c r="L213" s="98">
        <v>-7.4493900000000001E-18</v>
      </c>
      <c r="M213" s="81">
        <v>5</v>
      </c>
      <c r="N213" s="80">
        <f t="shared" si="7"/>
        <v>0</v>
      </c>
    </row>
    <row r="214" spans="1:14" ht="15.75" thickBot="1" x14ac:dyDescent="0.3">
      <c r="A214" s="57"/>
      <c r="B214" s="1">
        <v>12</v>
      </c>
      <c r="C214" s="98">
        <v>-50.95</v>
      </c>
      <c r="D214" s="98">
        <v>-18.95</v>
      </c>
      <c r="E214" s="98">
        <v>77.05</v>
      </c>
      <c r="F214" s="88">
        <v>9</v>
      </c>
      <c r="G214" s="108">
        <v>1.83222E-7</v>
      </c>
      <c r="H214" s="98">
        <v>-6.7779800000000002E-18</v>
      </c>
      <c r="I214" s="81">
        <v>39</v>
      </c>
      <c r="J214" s="80">
        <f t="shared" si="6"/>
        <v>0</v>
      </c>
      <c r="K214" s="97">
        <v>-1.3629</v>
      </c>
      <c r="L214" s="98">
        <v>3.7150000000000002E-5</v>
      </c>
      <c r="M214" s="81">
        <v>5</v>
      </c>
      <c r="N214" s="80">
        <f t="shared" si="7"/>
        <v>0</v>
      </c>
    </row>
    <row r="215" spans="1:14" ht="15.75" thickBot="1" x14ac:dyDescent="0.3">
      <c r="A215" s="57"/>
      <c r="B215" s="1">
        <v>13</v>
      </c>
      <c r="C215" s="98">
        <v>-1.93</v>
      </c>
      <c r="D215" s="98">
        <v>-0.93</v>
      </c>
      <c r="E215" s="98">
        <v>2.0699999999999998</v>
      </c>
      <c r="F215" s="88">
        <v>4</v>
      </c>
      <c r="G215" s="108">
        <v>-1.5321000000000001E-7</v>
      </c>
      <c r="H215" s="98">
        <v>-6.9799200000000004E-18</v>
      </c>
      <c r="I215" s="81">
        <v>32</v>
      </c>
      <c r="J215" s="80">
        <f t="shared" si="6"/>
        <v>0</v>
      </c>
      <c r="K215" s="97">
        <v>2.6266000000000001E-13</v>
      </c>
      <c r="L215" s="98">
        <v>-7.4493900000000001E-18</v>
      </c>
      <c r="M215" s="81">
        <v>5</v>
      </c>
      <c r="N215" s="80">
        <f t="shared" si="7"/>
        <v>0</v>
      </c>
    </row>
    <row r="216" spans="1:14" ht="15.75" thickBot="1" x14ac:dyDescent="0.3">
      <c r="A216" s="57"/>
      <c r="B216" s="1">
        <v>14</v>
      </c>
      <c r="C216" s="98">
        <v>-66.61</v>
      </c>
      <c r="D216" s="98">
        <v>-2.61</v>
      </c>
      <c r="E216" s="98">
        <v>189.39</v>
      </c>
      <c r="F216" s="88">
        <v>10</v>
      </c>
      <c r="G216" s="108">
        <v>62.726999999999997</v>
      </c>
      <c r="H216" s="98">
        <v>-0.92119799999999996</v>
      </c>
      <c r="I216" s="81">
        <v>41</v>
      </c>
      <c r="J216" s="80">
        <f t="shared" si="6"/>
        <v>1</v>
      </c>
      <c r="K216" s="97">
        <v>-4.35942E-2</v>
      </c>
      <c r="L216" s="98">
        <v>3.8009099999999999E-8</v>
      </c>
      <c r="M216" s="81">
        <v>5</v>
      </c>
      <c r="N216" s="80">
        <f t="shared" si="7"/>
        <v>0</v>
      </c>
    </row>
    <row r="217" spans="1:14" ht="15.75" thickBot="1" x14ac:dyDescent="0.3">
      <c r="A217" s="57"/>
      <c r="B217" s="1">
        <v>15</v>
      </c>
      <c r="C217" s="98">
        <v>-5.91</v>
      </c>
      <c r="D217" s="98">
        <v>-3.91</v>
      </c>
      <c r="E217" s="98">
        <v>2.09</v>
      </c>
      <c r="F217" s="88">
        <v>5</v>
      </c>
      <c r="G217" s="108">
        <v>-2.3300000000000001E-7</v>
      </c>
      <c r="H217" s="98">
        <v>-6.3635999999999998E-18</v>
      </c>
      <c r="I217" s="81">
        <v>34</v>
      </c>
      <c r="J217" s="80">
        <f t="shared" si="6"/>
        <v>0</v>
      </c>
      <c r="K217" s="97">
        <v>-0.91</v>
      </c>
      <c r="L217" s="98">
        <v>1.6562000000000002E-5</v>
      </c>
      <c r="M217" s="81">
        <v>4</v>
      </c>
      <c r="N217" s="80">
        <f t="shared" si="7"/>
        <v>0</v>
      </c>
    </row>
    <row r="218" spans="1:14" ht="15.75" thickBot="1" x14ac:dyDescent="0.3">
      <c r="A218" s="57"/>
      <c r="B218" s="1">
        <v>16</v>
      </c>
      <c r="C218" s="98">
        <v>-3.86</v>
      </c>
      <c r="D218" s="98">
        <v>-1.86</v>
      </c>
      <c r="E218" s="98">
        <v>4.1399999999999997</v>
      </c>
      <c r="F218" s="88">
        <v>5</v>
      </c>
      <c r="G218" s="108">
        <v>-9.7534900000000001E-8</v>
      </c>
      <c r="H218" s="98">
        <v>-7.2591199999999996E-18</v>
      </c>
      <c r="I218" s="81">
        <v>34</v>
      </c>
      <c r="J218" s="80">
        <f t="shared" si="6"/>
        <v>0</v>
      </c>
      <c r="K218" s="97">
        <v>3.49174E-13</v>
      </c>
      <c r="L218" s="98">
        <v>-7.4493900000000001E-18</v>
      </c>
      <c r="M218" s="81">
        <v>5</v>
      </c>
      <c r="N218" s="80">
        <f t="shared" si="7"/>
        <v>0</v>
      </c>
    </row>
    <row r="219" spans="1:14" ht="15.75" thickBot="1" x14ac:dyDescent="0.3">
      <c r="A219" s="57"/>
      <c r="B219" s="1">
        <v>17</v>
      </c>
      <c r="C219" s="98">
        <v>-40.369999999999997</v>
      </c>
      <c r="D219" s="98">
        <v>-24.37</v>
      </c>
      <c r="E219" s="98">
        <v>23.63</v>
      </c>
      <c r="F219" s="88">
        <v>8</v>
      </c>
      <c r="G219" s="108">
        <v>-1.07833E-7</v>
      </c>
      <c r="H219" s="98">
        <v>-7.2168300000000008E-18</v>
      </c>
      <c r="I219" s="81">
        <v>38</v>
      </c>
      <c r="J219" s="80">
        <f t="shared" si="6"/>
        <v>0</v>
      </c>
      <c r="K219" s="97">
        <v>-0.37</v>
      </c>
      <c r="L219" s="98">
        <v>2.7379999999999999E-6</v>
      </c>
      <c r="M219" s="81">
        <v>4</v>
      </c>
      <c r="N219" s="80">
        <f t="shared" si="7"/>
        <v>0</v>
      </c>
    </row>
    <row r="220" spans="1:14" ht="15.75" thickBot="1" x14ac:dyDescent="0.3">
      <c r="A220" s="57"/>
      <c r="B220" s="1">
        <v>18</v>
      </c>
      <c r="C220" s="98">
        <v>-97.56</v>
      </c>
      <c r="D220" s="98">
        <v>-33.56</v>
      </c>
      <c r="E220" s="98">
        <v>158.44</v>
      </c>
      <c r="F220" s="88">
        <v>10</v>
      </c>
      <c r="G220" s="108">
        <v>-2.30521E-7</v>
      </c>
      <c r="H220" s="98">
        <v>-6.3865899999999998E-18</v>
      </c>
      <c r="I220" s="81">
        <v>41</v>
      </c>
      <c r="J220" s="80">
        <f t="shared" si="6"/>
        <v>0</v>
      </c>
      <c r="K220" s="97">
        <v>62.44</v>
      </c>
      <c r="L220" s="98">
        <v>-0.91996299999999998</v>
      </c>
      <c r="M220" s="81">
        <v>5</v>
      </c>
      <c r="N220" s="80">
        <f t="shared" si="7"/>
        <v>1</v>
      </c>
    </row>
    <row r="221" spans="1:14" ht="15.75" thickBot="1" x14ac:dyDescent="0.3">
      <c r="A221" s="57"/>
      <c r="B221" s="1">
        <v>19</v>
      </c>
      <c r="C221" s="98">
        <v>0.61</v>
      </c>
      <c r="D221" s="98">
        <v>-1.39</v>
      </c>
      <c r="E221" s="98">
        <v>0.61</v>
      </c>
      <c r="F221" s="88">
        <v>4</v>
      </c>
      <c r="G221" s="108">
        <v>2.2494500000000001E-7</v>
      </c>
      <c r="H221" s="98">
        <v>-6.4373799999999999E-18</v>
      </c>
      <c r="I221" s="81">
        <v>31</v>
      </c>
      <c r="J221" s="80">
        <f t="shared" si="6"/>
        <v>0</v>
      </c>
      <c r="K221" s="97">
        <v>-0.39</v>
      </c>
      <c r="L221" s="98">
        <v>3.0419999999999998E-6</v>
      </c>
      <c r="M221" s="81">
        <v>4</v>
      </c>
      <c r="N221" s="80">
        <f t="shared" si="7"/>
        <v>0</v>
      </c>
    </row>
    <row r="222" spans="1:14" ht="15.75" thickBot="1" x14ac:dyDescent="0.3">
      <c r="A222" s="57"/>
      <c r="B222" s="1">
        <v>20</v>
      </c>
      <c r="C222" s="98">
        <v>40.409999999999997</v>
      </c>
      <c r="D222" s="98">
        <v>-23.59</v>
      </c>
      <c r="E222" s="98">
        <v>24.41</v>
      </c>
      <c r="F222" s="88">
        <v>9</v>
      </c>
      <c r="G222" s="108">
        <v>9.8976399999999994E-8</v>
      </c>
      <c r="H222" s="98">
        <v>-7.2534600000000002E-18</v>
      </c>
      <c r="I222" s="81">
        <v>38</v>
      </c>
      <c r="J222" s="80">
        <f t="shared" si="6"/>
        <v>0</v>
      </c>
      <c r="K222" s="97">
        <v>-1.52881E-4</v>
      </c>
      <c r="L222" s="98">
        <v>4.6744200000000002E-13</v>
      </c>
      <c r="M222" s="81">
        <v>5</v>
      </c>
      <c r="N222" s="80">
        <f t="shared" si="7"/>
        <v>0</v>
      </c>
    </row>
    <row r="223" spans="1:14" ht="15.75" thickBot="1" x14ac:dyDescent="0.3">
      <c r="A223" s="57"/>
      <c r="B223" s="1">
        <v>21</v>
      </c>
      <c r="C223" s="98">
        <v>54.86</v>
      </c>
      <c r="D223" s="98">
        <v>58.86</v>
      </c>
      <c r="E223" s="98">
        <v>70.86</v>
      </c>
      <c r="F223" s="88">
        <v>6</v>
      </c>
      <c r="G223" s="108">
        <v>62.726999999999997</v>
      </c>
      <c r="H223" s="98">
        <v>-0.92119799999999996</v>
      </c>
      <c r="I223" s="81">
        <v>35</v>
      </c>
      <c r="J223" s="80">
        <f t="shared" si="6"/>
        <v>1</v>
      </c>
      <c r="K223" s="97">
        <v>62.665700000000001</v>
      </c>
      <c r="L223" s="98">
        <v>-0.92114200000000002</v>
      </c>
      <c r="M223" s="81">
        <v>6</v>
      </c>
      <c r="N223" s="80">
        <f t="shared" si="7"/>
        <v>1</v>
      </c>
    </row>
    <row r="224" spans="1:14" ht="15.75" thickBot="1" x14ac:dyDescent="0.3">
      <c r="A224" s="57"/>
      <c r="B224" s="1">
        <v>22</v>
      </c>
      <c r="C224" s="98">
        <v>-32.19</v>
      </c>
      <c r="D224" s="98">
        <v>-16.190000000000001</v>
      </c>
      <c r="E224" s="98">
        <v>31.81</v>
      </c>
      <c r="F224" s="88">
        <v>8</v>
      </c>
      <c r="G224" s="108">
        <v>-2.1187299999999999E-8</v>
      </c>
      <c r="H224" s="98">
        <v>-7.4404100000000006E-18</v>
      </c>
      <c r="I224" s="81">
        <v>38</v>
      </c>
      <c r="J224" s="80">
        <f t="shared" si="6"/>
        <v>0</v>
      </c>
      <c r="K224" s="97">
        <v>-1.2225E-2</v>
      </c>
      <c r="L224" s="98">
        <v>2.98899E-9</v>
      </c>
      <c r="M224" s="81">
        <v>5</v>
      </c>
      <c r="N224" s="80">
        <f t="shared" si="7"/>
        <v>0</v>
      </c>
    </row>
    <row r="225" spans="1:14" ht="15.75" thickBot="1" x14ac:dyDescent="0.3">
      <c r="A225" s="57"/>
      <c r="B225" s="1">
        <v>23</v>
      </c>
      <c r="C225" s="98">
        <v>-65.040000000000006</v>
      </c>
      <c r="D225" s="98">
        <v>-1.04</v>
      </c>
      <c r="E225" s="98">
        <v>190.96</v>
      </c>
      <c r="F225" s="88">
        <v>10</v>
      </c>
      <c r="G225" s="108">
        <v>62.726999999999997</v>
      </c>
      <c r="H225" s="98">
        <v>-0.92119799999999996</v>
      </c>
      <c r="I225" s="81">
        <v>41</v>
      </c>
      <c r="J225" s="80">
        <f t="shared" si="6"/>
        <v>1</v>
      </c>
      <c r="K225" s="97">
        <v>-1.6564700000000002E-2</v>
      </c>
      <c r="L225" s="98">
        <v>5.4877700000000004E-9</v>
      </c>
      <c r="M225" s="81">
        <v>5</v>
      </c>
      <c r="N225" s="80">
        <f t="shared" si="7"/>
        <v>0</v>
      </c>
    </row>
    <row r="226" spans="1:14" ht="15.75" thickBot="1" x14ac:dyDescent="0.3">
      <c r="A226" s="57"/>
      <c r="B226" s="1">
        <v>24</v>
      </c>
      <c r="C226" s="98">
        <v>60.99</v>
      </c>
      <c r="D226" s="98">
        <v>61.99</v>
      </c>
      <c r="E226" s="98">
        <v>64.989999999999995</v>
      </c>
      <c r="F226" s="88">
        <v>4</v>
      </c>
      <c r="G226" s="108">
        <v>62.726999999999997</v>
      </c>
      <c r="H226" s="98">
        <v>-0.92119799999999996</v>
      </c>
      <c r="I226" s="81">
        <v>32</v>
      </c>
      <c r="J226" s="80">
        <f t="shared" si="6"/>
        <v>1</v>
      </c>
      <c r="K226" s="97">
        <v>62.725999999999999</v>
      </c>
      <c r="L226" s="98">
        <v>-0.92119799999999996</v>
      </c>
      <c r="M226" s="81">
        <v>5</v>
      </c>
      <c r="N226" s="80">
        <f t="shared" si="7"/>
        <v>1</v>
      </c>
    </row>
    <row r="227" spans="1:14" ht="15.75" thickBot="1" x14ac:dyDescent="0.3">
      <c r="A227" s="57"/>
      <c r="B227" s="1">
        <v>25</v>
      </c>
      <c r="C227" s="98">
        <v>34.229999999999997</v>
      </c>
      <c r="D227" s="98">
        <v>-29.77</v>
      </c>
      <c r="E227" s="98">
        <v>18.23</v>
      </c>
      <c r="F227" s="88">
        <v>9</v>
      </c>
      <c r="G227" s="108">
        <v>3.28557E-7</v>
      </c>
      <c r="H227" s="98">
        <v>-5.2903900000000002E-18</v>
      </c>
      <c r="I227" s="81">
        <v>38</v>
      </c>
      <c r="J227" s="80">
        <f t="shared" si="6"/>
        <v>0</v>
      </c>
      <c r="K227" s="97">
        <v>-5.77</v>
      </c>
      <c r="L227" s="98">
        <v>6.6585799999999997E-4</v>
      </c>
      <c r="M227" s="81">
        <v>4</v>
      </c>
      <c r="N227" s="80">
        <f t="shared" si="7"/>
        <v>0</v>
      </c>
    </row>
    <row r="228" spans="1:14" ht="15.75" thickBot="1" x14ac:dyDescent="0.3">
      <c r="A228" s="57"/>
      <c r="B228" s="1">
        <v>26</v>
      </c>
      <c r="C228" s="98">
        <v>16.829999999999998</v>
      </c>
      <c r="D228" s="98">
        <v>-15.17</v>
      </c>
      <c r="E228" s="98">
        <v>8.83</v>
      </c>
      <c r="F228" s="88">
        <v>8</v>
      </c>
      <c r="G228" s="108">
        <v>-4.9218E-7</v>
      </c>
      <c r="H228" s="98">
        <v>-2.6045500000000001E-18</v>
      </c>
      <c r="I228" s="81">
        <v>36</v>
      </c>
      <c r="J228" s="80">
        <f t="shared" si="6"/>
        <v>0</v>
      </c>
      <c r="K228" s="97">
        <v>-3.17</v>
      </c>
      <c r="L228" s="98">
        <v>2.0097800000000001E-4</v>
      </c>
      <c r="M228" s="81">
        <v>4</v>
      </c>
      <c r="N228" s="80">
        <f t="shared" si="7"/>
        <v>0</v>
      </c>
    </row>
    <row r="229" spans="1:14" ht="15.75" thickBot="1" x14ac:dyDescent="0.3">
      <c r="A229" s="57"/>
      <c r="B229" s="1">
        <v>27</v>
      </c>
      <c r="C229" s="98">
        <v>-10.89</v>
      </c>
      <c r="D229" s="98">
        <v>-6.89</v>
      </c>
      <c r="E229" s="98">
        <v>5.1100000000000003</v>
      </c>
      <c r="F229" s="88">
        <v>6</v>
      </c>
      <c r="G229" s="108">
        <v>-3.5364199999999998E-7</v>
      </c>
      <c r="H229" s="98">
        <v>-4.9481299999999999E-18</v>
      </c>
      <c r="I229" s="81">
        <v>35</v>
      </c>
      <c r="J229" s="80">
        <f t="shared" si="6"/>
        <v>0</v>
      </c>
      <c r="K229" s="97">
        <v>-0.89</v>
      </c>
      <c r="L229" s="98">
        <v>1.5841999999999998E-5</v>
      </c>
      <c r="M229" s="81">
        <v>4</v>
      </c>
      <c r="N229" s="80">
        <f t="shared" si="7"/>
        <v>0</v>
      </c>
    </row>
    <row r="230" spans="1:14" ht="15.75" thickBot="1" x14ac:dyDescent="0.3">
      <c r="A230" s="57"/>
      <c r="B230" s="1">
        <v>28</v>
      </c>
      <c r="C230" s="98">
        <v>-39.119999999999997</v>
      </c>
      <c r="D230" s="98">
        <v>-23.12</v>
      </c>
      <c r="E230" s="98">
        <v>24.88</v>
      </c>
      <c r="F230" s="88">
        <v>8</v>
      </c>
      <c r="G230" s="108">
        <v>-1.94798E-7</v>
      </c>
      <c r="H230" s="98">
        <v>-6.6904600000000002E-18</v>
      </c>
      <c r="I230" s="81">
        <v>38</v>
      </c>
      <c r="J230" s="80">
        <f t="shared" si="6"/>
        <v>0</v>
      </c>
      <c r="K230" s="97">
        <v>-2.1804499999999999E-4</v>
      </c>
      <c r="L230" s="98">
        <v>9.5086899999999999E-13</v>
      </c>
      <c r="M230" s="81">
        <v>5</v>
      </c>
      <c r="N230" s="80">
        <f t="shared" si="7"/>
        <v>0</v>
      </c>
    </row>
    <row r="231" spans="1:14" ht="15.75" thickBot="1" x14ac:dyDescent="0.3">
      <c r="A231" s="57"/>
      <c r="B231" s="1">
        <v>29</v>
      </c>
      <c r="C231" s="98">
        <v>-41.21</v>
      </c>
      <c r="D231" s="98">
        <v>-25.21</v>
      </c>
      <c r="E231" s="98">
        <v>22.79</v>
      </c>
      <c r="F231" s="88">
        <v>8</v>
      </c>
      <c r="G231" s="108">
        <v>7.8107300000000002E-8</v>
      </c>
      <c r="H231" s="98">
        <v>-7.3273699999999992E-18</v>
      </c>
      <c r="I231" s="81">
        <v>38</v>
      </c>
      <c r="J231" s="80">
        <f t="shared" si="6"/>
        <v>0</v>
      </c>
      <c r="K231" s="97">
        <v>-1.21</v>
      </c>
      <c r="L231" s="98">
        <v>2.9281999999999998E-5</v>
      </c>
      <c r="M231" s="81">
        <v>4</v>
      </c>
      <c r="N231" s="80">
        <f t="shared" si="7"/>
        <v>0</v>
      </c>
    </row>
    <row r="232" spans="1:14" ht="15.75" thickBot="1" x14ac:dyDescent="0.3">
      <c r="A232" s="57"/>
      <c r="B232" s="1">
        <v>30</v>
      </c>
      <c r="C232" s="98">
        <v>-29.21</v>
      </c>
      <c r="D232" s="98">
        <v>-13.21</v>
      </c>
      <c r="E232" s="98">
        <v>34.79</v>
      </c>
      <c r="F232" s="88">
        <v>8</v>
      </c>
      <c r="G232" s="108">
        <v>-3.0136300000000002E-7</v>
      </c>
      <c r="H232" s="98">
        <v>-5.6329900000000003E-18</v>
      </c>
      <c r="I232" s="81">
        <v>38</v>
      </c>
      <c r="J232" s="80">
        <f t="shared" si="6"/>
        <v>0</v>
      </c>
      <c r="K232" s="97">
        <v>-1.9093700000000002E-2</v>
      </c>
      <c r="L232" s="98">
        <v>7.2913600000000003E-9</v>
      </c>
      <c r="M232" s="81">
        <v>5</v>
      </c>
      <c r="N232" s="80">
        <f t="shared" si="7"/>
        <v>0</v>
      </c>
    </row>
    <row r="233" spans="1:14" ht="15.75" thickBot="1" x14ac:dyDescent="0.3">
      <c r="A233" s="57"/>
      <c r="B233" s="1">
        <v>31</v>
      </c>
      <c r="C233" s="98">
        <v>-99.59</v>
      </c>
      <c r="D233" s="98">
        <v>-35.590000000000003</v>
      </c>
      <c r="E233" s="98">
        <v>156.41</v>
      </c>
      <c r="F233" s="88">
        <v>10</v>
      </c>
      <c r="G233" s="108">
        <v>1.09595E-7</v>
      </c>
      <c r="H233" s="98">
        <v>-7.2091699999999994E-18</v>
      </c>
      <c r="I233" s="81">
        <v>41</v>
      </c>
      <c r="J233" s="80">
        <f t="shared" si="6"/>
        <v>0</v>
      </c>
      <c r="K233" s="97">
        <v>60.41</v>
      </c>
      <c r="L233" s="98">
        <v>-0.84392900000000004</v>
      </c>
      <c r="M233" s="81">
        <v>5</v>
      </c>
      <c r="N233" s="80">
        <f t="shared" si="7"/>
        <v>1</v>
      </c>
    </row>
    <row r="234" spans="1:14" ht="15.75" thickBot="1" x14ac:dyDescent="0.3">
      <c r="A234" s="57"/>
      <c r="B234" s="1">
        <v>32</v>
      </c>
      <c r="C234" s="98">
        <v>-93.32</v>
      </c>
      <c r="D234" s="98">
        <v>-61.32</v>
      </c>
      <c r="E234" s="98">
        <v>34.68</v>
      </c>
      <c r="F234" s="88">
        <v>9</v>
      </c>
      <c r="G234" s="108">
        <v>4.6318899999999998E-7</v>
      </c>
      <c r="H234" s="98">
        <v>-3.1585099999999999E-18</v>
      </c>
      <c r="I234" s="81">
        <v>39</v>
      </c>
      <c r="J234" s="80">
        <f t="shared" si="6"/>
        <v>0</v>
      </c>
      <c r="K234" s="97">
        <v>-13.32</v>
      </c>
      <c r="L234" s="98">
        <v>3.5484499999999999E-3</v>
      </c>
      <c r="M234" s="81">
        <v>4</v>
      </c>
      <c r="N234" s="80">
        <f t="shared" si="7"/>
        <v>0</v>
      </c>
    </row>
    <row r="235" spans="1:14" ht="15.75" thickBot="1" x14ac:dyDescent="0.3">
      <c r="A235" s="57"/>
      <c r="B235" s="1">
        <v>33</v>
      </c>
      <c r="C235" s="98">
        <v>-9.68</v>
      </c>
      <c r="D235" s="98">
        <v>-5.68</v>
      </c>
      <c r="E235" s="98">
        <v>6.32</v>
      </c>
      <c r="F235" s="88">
        <v>6</v>
      </c>
      <c r="G235" s="108">
        <v>-2.2504499999999999E-7</v>
      </c>
      <c r="H235" s="98">
        <v>-6.4364800000000001E-18</v>
      </c>
      <c r="I235" s="81">
        <v>35</v>
      </c>
      <c r="J235" s="80">
        <f t="shared" si="6"/>
        <v>0</v>
      </c>
      <c r="K235" s="97">
        <v>2.7298299999999998E-13</v>
      </c>
      <c r="L235" s="98">
        <v>-7.4493900000000001E-18</v>
      </c>
      <c r="M235" s="81">
        <v>5</v>
      </c>
      <c r="N235" s="80">
        <f t="shared" si="7"/>
        <v>0</v>
      </c>
    </row>
    <row r="236" spans="1:14" ht="15.75" thickBot="1" x14ac:dyDescent="0.3">
      <c r="A236" s="57"/>
      <c r="B236" s="1">
        <v>34</v>
      </c>
      <c r="C236" s="98">
        <v>-16.72</v>
      </c>
      <c r="D236" s="98">
        <v>-8.7200000000000006</v>
      </c>
      <c r="E236" s="98">
        <v>15.28</v>
      </c>
      <c r="F236" s="88">
        <v>7</v>
      </c>
      <c r="G236" s="108">
        <v>-1.7551299999999999E-7</v>
      </c>
      <c r="H236" s="98">
        <v>-6.8332899999999999E-18</v>
      </c>
      <c r="I236" s="81">
        <v>36</v>
      </c>
      <c r="J236" s="80">
        <f t="shared" si="6"/>
        <v>0</v>
      </c>
      <c r="K236" s="97">
        <v>2.3391099999999998E-13</v>
      </c>
      <c r="L236" s="98">
        <v>-7.4493900000000001E-18</v>
      </c>
      <c r="M236" s="81">
        <v>6</v>
      </c>
      <c r="N236" s="80">
        <f t="shared" si="7"/>
        <v>0</v>
      </c>
    </row>
    <row r="237" spans="1:14" ht="15.75" thickBot="1" x14ac:dyDescent="0.3">
      <c r="A237" s="57"/>
      <c r="B237" s="1">
        <v>35</v>
      </c>
      <c r="C237" s="98">
        <v>76.83</v>
      </c>
      <c r="D237" s="98">
        <v>44.83</v>
      </c>
      <c r="E237" s="98">
        <v>68.83</v>
      </c>
      <c r="F237" s="88">
        <v>8</v>
      </c>
      <c r="G237" s="108">
        <v>62.726999999999997</v>
      </c>
      <c r="H237" s="98">
        <v>-0.92119799999999996</v>
      </c>
      <c r="I237" s="81">
        <v>36</v>
      </c>
      <c r="J237" s="80">
        <f t="shared" si="6"/>
        <v>1</v>
      </c>
      <c r="K237" s="97">
        <v>56.83</v>
      </c>
      <c r="L237" s="98">
        <v>-0.51322199999999996</v>
      </c>
      <c r="M237" s="81">
        <v>4</v>
      </c>
      <c r="N237" s="80">
        <f t="shared" si="7"/>
        <v>0</v>
      </c>
    </row>
    <row r="238" spans="1:14" ht="15.75" thickBot="1" x14ac:dyDescent="0.3">
      <c r="A238" s="57"/>
      <c r="B238" s="1">
        <v>36</v>
      </c>
      <c r="C238" s="98">
        <v>-90.69</v>
      </c>
      <c r="D238" s="98">
        <v>-58.69</v>
      </c>
      <c r="E238" s="98">
        <v>37.31</v>
      </c>
      <c r="F238" s="88">
        <v>9</v>
      </c>
      <c r="G238" s="108">
        <v>-4.8369400000000003E-8</v>
      </c>
      <c r="H238" s="98">
        <v>-7.4025899999999997E-18</v>
      </c>
      <c r="I238" s="81">
        <v>39</v>
      </c>
      <c r="J238" s="80">
        <f t="shared" si="6"/>
        <v>0</v>
      </c>
      <c r="K238" s="97">
        <v>-10.69</v>
      </c>
      <c r="L238" s="98">
        <v>2.2855200000000001E-3</v>
      </c>
      <c r="M238" s="81">
        <v>4</v>
      </c>
      <c r="N238" s="80">
        <f t="shared" si="7"/>
        <v>0</v>
      </c>
    </row>
    <row r="239" spans="1:14" ht="15.75" thickBot="1" x14ac:dyDescent="0.3">
      <c r="A239" s="57"/>
      <c r="B239" s="1">
        <v>37</v>
      </c>
      <c r="C239" s="98">
        <v>-61.15</v>
      </c>
      <c r="D239" s="98">
        <v>2.85</v>
      </c>
      <c r="E239" s="98">
        <v>194.85</v>
      </c>
      <c r="F239" s="88">
        <v>10</v>
      </c>
      <c r="G239" s="108">
        <v>2.85</v>
      </c>
      <c r="H239" s="98">
        <v>1.6244999999999999E-4</v>
      </c>
      <c r="I239" s="81">
        <v>41</v>
      </c>
      <c r="J239" s="80">
        <f t="shared" si="6"/>
        <v>0</v>
      </c>
      <c r="K239" s="97">
        <v>98.85</v>
      </c>
      <c r="L239" s="98">
        <v>0.19542799999999999</v>
      </c>
      <c r="M239" s="81">
        <v>4</v>
      </c>
      <c r="N239" s="80">
        <f t="shared" si="7"/>
        <v>1</v>
      </c>
    </row>
    <row r="240" spans="1:14" ht="15.75" thickBot="1" x14ac:dyDescent="0.3">
      <c r="A240" s="57"/>
      <c r="B240" s="1">
        <v>38</v>
      </c>
      <c r="C240" s="98">
        <v>-0.02</v>
      </c>
      <c r="D240" s="98">
        <v>-1.02</v>
      </c>
      <c r="E240" s="98">
        <v>-1.02</v>
      </c>
      <c r="F240" s="88">
        <v>3</v>
      </c>
      <c r="G240" s="108">
        <v>-1.02</v>
      </c>
      <c r="H240" s="98">
        <v>2.0808000000000001E-5</v>
      </c>
      <c r="I240" s="81">
        <v>2</v>
      </c>
      <c r="J240" s="80">
        <f t="shared" si="6"/>
        <v>0</v>
      </c>
      <c r="K240" s="97">
        <v>-1.02</v>
      </c>
      <c r="L240" s="98">
        <v>2.0808000000000001E-5</v>
      </c>
      <c r="M240" s="81">
        <v>3</v>
      </c>
      <c r="N240" s="80">
        <f t="shared" si="7"/>
        <v>0</v>
      </c>
    </row>
    <row r="241" spans="1:14" ht="15.75" thickBot="1" x14ac:dyDescent="0.3">
      <c r="A241" s="57"/>
      <c r="B241" s="1">
        <v>39</v>
      </c>
      <c r="C241" s="98">
        <v>-99.42</v>
      </c>
      <c r="D241" s="98">
        <v>-35.42</v>
      </c>
      <c r="E241" s="98">
        <v>156.58000000000001</v>
      </c>
      <c r="F241" s="88">
        <v>10</v>
      </c>
      <c r="G241" s="108">
        <v>-4.5984999999999998E-8</v>
      </c>
      <c r="H241" s="98">
        <v>-7.4070899999999999E-18</v>
      </c>
      <c r="I241" s="81">
        <v>41</v>
      </c>
      <c r="J241" s="80">
        <f t="shared" si="6"/>
        <v>0</v>
      </c>
      <c r="K241" s="97">
        <v>60.58</v>
      </c>
      <c r="L241" s="98">
        <v>-0.85447899999999999</v>
      </c>
      <c r="M241" s="81">
        <v>5</v>
      </c>
      <c r="N241" s="80">
        <f t="shared" si="7"/>
        <v>1</v>
      </c>
    </row>
    <row r="242" spans="1:14" ht="15.75" thickBot="1" x14ac:dyDescent="0.3">
      <c r="A242" s="57"/>
      <c r="B242" s="1">
        <v>40</v>
      </c>
      <c r="C242" s="98">
        <v>21.56</v>
      </c>
      <c r="D242" s="98">
        <v>-10.44</v>
      </c>
      <c r="E242" s="98">
        <v>13.56</v>
      </c>
      <c r="F242" s="88">
        <v>8</v>
      </c>
      <c r="G242" s="108">
        <v>-3.9242000000000002E-7</v>
      </c>
      <c r="H242" s="98">
        <v>-4.3695100000000003E-18</v>
      </c>
      <c r="I242" s="81">
        <v>36</v>
      </c>
      <c r="J242" s="80">
        <f t="shared" si="6"/>
        <v>0</v>
      </c>
      <c r="K242" s="97">
        <v>2.3391099999999998E-13</v>
      </c>
      <c r="L242" s="98">
        <v>-7.4493900000000001E-18</v>
      </c>
      <c r="M242" s="81">
        <v>6</v>
      </c>
      <c r="N242" s="80">
        <f t="shared" si="7"/>
        <v>0</v>
      </c>
    </row>
    <row r="243" spans="1:14" ht="15.75" thickBot="1" x14ac:dyDescent="0.3">
      <c r="A243" s="57"/>
      <c r="B243" s="1">
        <v>41</v>
      </c>
      <c r="C243" s="98">
        <v>-65.56</v>
      </c>
      <c r="D243" s="98">
        <v>-1.56</v>
      </c>
      <c r="E243" s="98">
        <v>190.44</v>
      </c>
      <c r="F243" s="88">
        <v>10</v>
      </c>
      <c r="G243" s="108">
        <v>62.726999999999997</v>
      </c>
      <c r="H243" s="98">
        <v>-0.92119799999999996</v>
      </c>
      <c r="I243" s="81">
        <v>41</v>
      </c>
      <c r="J243" s="80">
        <f t="shared" si="6"/>
        <v>1</v>
      </c>
      <c r="K243" s="97">
        <v>-2.3010800000000001E-2</v>
      </c>
      <c r="L243" s="98">
        <v>1.0589999999999999E-8</v>
      </c>
      <c r="M243" s="81">
        <v>5</v>
      </c>
      <c r="N243" s="80">
        <f t="shared" si="7"/>
        <v>0</v>
      </c>
    </row>
    <row r="244" spans="1:14" ht="15.75" thickBot="1" x14ac:dyDescent="0.3">
      <c r="A244" s="57"/>
      <c r="B244" s="1">
        <v>42</v>
      </c>
      <c r="C244" s="98">
        <v>-32.4</v>
      </c>
      <c r="D244" s="98">
        <v>-16.399999999999999</v>
      </c>
      <c r="E244" s="98">
        <v>31.6</v>
      </c>
      <c r="F244" s="88">
        <v>8</v>
      </c>
      <c r="G244" s="108">
        <v>-1.6443800000000001E-7</v>
      </c>
      <c r="H244" s="98">
        <v>-6.9085899999999998E-18</v>
      </c>
      <c r="I244" s="81">
        <v>38</v>
      </c>
      <c r="J244" s="80">
        <f t="shared" si="6"/>
        <v>0</v>
      </c>
      <c r="K244" s="97">
        <v>-1.12768E-2</v>
      </c>
      <c r="L244" s="98">
        <v>2.5433199999999999E-9</v>
      </c>
      <c r="M244" s="81">
        <v>5</v>
      </c>
      <c r="N244" s="80">
        <f t="shared" si="7"/>
        <v>0</v>
      </c>
    </row>
    <row r="245" spans="1:14" ht="15.75" thickBot="1" x14ac:dyDescent="0.3">
      <c r="A245" s="57"/>
      <c r="B245" s="1">
        <v>43</v>
      </c>
      <c r="C245" s="98">
        <v>-97.99</v>
      </c>
      <c r="D245" s="98">
        <v>-33.99</v>
      </c>
      <c r="E245" s="98">
        <v>158.01</v>
      </c>
      <c r="F245" s="88">
        <v>10</v>
      </c>
      <c r="G245" s="108">
        <v>2.05142E-7</v>
      </c>
      <c r="H245" s="98">
        <v>-6.6077299999999999E-18</v>
      </c>
      <c r="I245" s="81">
        <v>41</v>
      </c>
      <c r="J245" s="80">
        <f t="shared" si="6"/>
        <v>0</v>
      </c>
      <c r="K245" s="97">
        <v>62.01</v>
      </c>
      <c r="L245" s="98">
        <v>-0.91351899999999997</v>
      </c>
      <c r="M245" s="81">
        <v>5</v>
      </c>
      <c r="N245" s="80">
        <f t="shared" si="7"/>
        <v>1</v>
      </c>
    </row>
    <row r="246" spans="1:14" ht="15.75" thickBot="1" x14ac:dyDescent="0.3">
      <c r="A246" s="57"/>
      <c r="B246" s="1">
        <v>44</v>
      </c>
      <c r="C246" s="98">
        <v>-10.11</v>
      </c>
      <c r="D246" s="98">
        <v>-6.11</v>
      </c>
      <c r="E246" s="98">
        <v>5.89</v>
      </c>
      <c r="F246" s="88">
        <v>6</v>
      </c>
      <c r="G246" s="108">
        <v>3.5364199999999998E-7</v>
      </c>
      <c r="H246" s="98">
        <v>-4.9481399999999996E-18</v>
      </c>
      <c r="I246" s="81">
        <v>35</v>
      </c>
      <c r="J246" s="80">
        <f t="shared" si="6"/>
        <v>0</v>
      </c>
      <c r="K246" s="97">
        <v>-0.11</v>
      </c>
      <c r="L246" s="98">
        <v>2.4200000000000002E-7</v>
      </c>
      <c r="M246" s="81">
        <v>4</v>
      </c>
      <c r="N246" s="80">
        <f t="shared" si="7"/>
        <v>0</v>
      </c>
    </row>
    <row r="247" spans="1:14" ht="15.75" thickBot="1" x14ac:dyDescent="0.3">
      <c r="A247" s="57"/>
      <c r="B247" s="1">
        <v>45</v>
      </c>
      <c r="C247" s="98">
        <v>-89.35</v>
      </c>
      <c r="D247" s="98">
        <v>-57.35</v>
      </c>
      <c r="E247" s="98">
        <v>38.65</v>
      </c>
      <c r="F247" s="88">
        <v>9</v>
      </c>
      <c r="G247" s="108">
        <v>1.83223E-7</v>
      </c>
      <c r="H247" s="98">
        <v>-6.7779699999999997E-18</v>
      </c>
      <c r="I247" s="81">
        <v>39</v>
      </c>
      <c r="J247" s="80">
        <f t="shared" si="6"/>
        <v>0</v>
      </c>
      <c r="K247" s="97">
        <v>-9.35</v>
      </c>
      <c r="L247" s="98">
        <v>1.7484499999999999E-3</v>
      </c>
      <c r="M247" s="81">
        <v>4</v>
      </c>
      <c r="N247" s="80">
        <f t="shared" si="7"/>
        <v>0</v>
      </c>
    </row>
    <row r="248" spans="1:14" ht="15.75" thickBot="1" x14ac:dyDescent="0.3">
      <c r="A248" s="57"/>
      <c r="B248" s="1">
        <v>46</v>
      </c>
      <c r="C248" s="98">
        <v>58</v>
      </c>
      <c r="D248" s="98">
        <v>60</v>
      </c>
      <c r="E248" s="98">
        <v>66</v>
      </c>
      <c r="F248" s="88">
        <v>5</v>
      </c>
      <c r="G248" s="108">
        <v>62.726999999999997</v>
      </c>
      <c r="H248" s="98">
        <v>-0.92119799999999996</v>
      </c>
      <c r="I248" s="81">
        <v>34</v>
      </c>
      <c r="J248" s="80">
        <f t="shared" si="6"/>
        <v>1</v>
      </c>
      <c r="K248" s="97">
        <v>62.726999999999997</v>
      </c>
      <c r="L248" s="98">
        <v>-0.92119799999999996</v>
      </c>
      <c r="M248" s="81">
        <v>7</v>
      </c>
      <c r="N248" s="80">
        <f t="shared" si="7"/>
        <v>1</v>
      </c>
    </row>
    <row r="249" spans="1:14" ht="15.75" thickBot="1" x14ac:dyDescent="0.3">
      <c r="A249" s="57"/>
      <c r="B249" s="1">
        <v>47</v>
      </c>
      <c r="C249" s="98">
        <v>-65.400000000000006</v>
      </c>
      <c r="D249" s="98">
        <v>-1.4</v>
      </c>
      <c r="E249" s="98">
        <v>190.6</v>
      </c>
      <c r="F249" s="88">
        <v>10</v>
      </c>
      <c r="G249" s="108">
        <v>62.726999999999997</v>
      </c>
      <c r="H249" s="98">
        <v>-0.92119799999999996</v>
      </c>
      <c r="I249" s="81">
        <v>41</v>
      </c>
      <c r="J249" s="80">
        <f t="shared" si="6"/>
        <v>1</v>
      </c>
      <c r="K249" s="97">
        <v>-2.0815400000000001E-2</v>
      </c>
      <c r="L249" s="98">
        <v>8.6656400000000007E-9</v>
      </c>
      <c r="M249" s="81">
        <v>5</v>
      </c>
      <c r="N249" s="80">
        <f t="shared" si="7"/>
        <v>0</v>
      </c>
    </row>
    <row r="250" spans="1:14" ht="15.75" thickBot="1" x14ac:dyDescent="0.3">
      <c r="A250" s="57"/>
      <c r="B250" s="1">
        <v>48</v>
      </c>
      <c r="C250" s="98">
        <v>21.01</v>
      </c>
      <c r="D250" s="98">
        <v>-10.99</v>
      </c>
      <c r="E250" s="98">
        <v>13.01</v>
      </c>
      <c r="F250" s="88">
        <v>8</v>
      </c>
      <c r="G250" s="108">
        <v>-3.43582E-8</v>
      </c>
      <c r="H250" s="98">
        <v>-7.4257799999999999E-18</v>
      </c>
      <c r="I250" s="81">
        <v>36</v>
      </c>
      <c r="J250" s="80">
        <f t="shared" si="6"/>
        <v>0</v>
      </c>
      <c r="K250" s="97">
        <v>2.3391099999999998E-13</v>
      </c>
      <c r="L250" s="98">
        <v>-7.4493900000000001E-18</v>
      </c>
      <c r="M250" s="81">
        <v>6</v>
      </c>
      <c r="N250" s="80">
        <f t="shared" si="7"/>
        <v>0</v>
      </c>
    </row>
    <row r="251" spans="1:14" ht="15.75" thickBot="1" x14ac:dyDescent="0.3">
      <c r="A251" s="57"/>
      <c r="B251" s="1">
        <v>49</v>
      </c>
      <c r="C251" s="98">
        <v>-56.44</v>
      </c>
      <c r="D251" s="98">
        <v>7.56</v>
      </c>
      <c r="E251" s="98">
        <v>199.56</v>
      </c>
      <c r="F251" s="88">
        <v>10</v>
      </c>
      <c r="G251" s="108">
        <v>62.726999999999997</v>
      </c>
      <c r="H251" s="98">
        <v>-0.92119799999999996</v>
      </c>
      <c r="I251" s="81">
        <v>41</v>
      </c>
      <c r="J251" s="80">
        <f t="shared" si="6"/>
        <v>1</v>
      </c>
      <c r="K251" s="97">
        <v>103.56</v>
      </c>
      <c r="L251" s="98">
        <v>0.21449399999999999</v>
      </c>
      <c r="M251" s="81">
        <v>4</v>
      </c>
      <c r="N251" s="80">
        <f t="shared" si="7"/>
        <v>1</v>
      </c>
    </row>
    <row r="252" spans="1:14" ht="15.75" thickBot="1" x14ac:dyDescent="0.3">
      <c r="A252" s="57"/>
      <c r="B252" s="1">
        <v>50</v>
      </c>
      <c r="C252" s="98">
        <v>-30.75</v>
      </c>
      <c r="D252" s="98">
        <v>-14.75</v>
      </c>
      <c r="E252" s="98">
        <v>33.25</v>
      </c>
      <c r="F252" s="88">
        <v>8</v>
      </c>
      <c r="G252" s="108">
        <v>-3.3994299999999999E-7</v>
      </c>
      <c r="H252" s="98">
        <v>-5.1381599999999996E-18</v>
      </c>
      <c r="I252" s="81">
        <v>38</v>
      </c>
      <c r="J252" s="80">
        <f t="shared" si="6"/>
        <v>0</v>
      </c>
      <c r="K252" s="97">
        <v>-1.88042E-2</v>
      </c>
      <c r="L252" s="98">
        <v>7.0719400000000003E-9</v>
      </c>
      <c r="M252" s="81">
        <v>5</v>
      </c>
      <c r="N252" s="80">
        <f t="shared" si="7"/>
        <v>0</v>
      </c>
    </row>
    <row r="253" spans="1:14" ht="15.75" thickBot="1" x14ac:dyDescent="0.3">
      <c r="A253" s="57"/>
      <c r="B253" s="1">
        <v>51</v>
      </c>
      <c r="C253" s="98">
        <v>-16.93</v>
      </c>
      <c r="D253" s="98">
        <v>-8.93</v>
      </c>
      <c r="E253" s="98">
        <v>15.07</v>
      </c>
      <c r="F253" s="88">
        <v>7</v>
      </c>
      <c r="G253" s="108">
        <v>-7.4924099999999995E-8</v>
      </c>
      <c r="H253" s="98">
        <v>-7.3371100000000006E-18</v>
      </c>
      <c r="I253" s="81">
        <v>36</v>
      </c>
      <c r="J253" s="80">
        <f t="shared" si="6"/>
        <v>0</v>
      </c>
      <c r="K253" s="97">
        <v>2.3391099999999998E-13</v>
      </c>
      <c r="L253" s="98">
        <v>-7.4493900000000001E-18</v>
      </c>
      <c r="M253" s="81">
        <v>6</v>
      </c>
      <c r="N253" s="80">
        <f t="shared" si="7"/>
        <v>0</v>
      </c>
    </row>
    <row r="254" spans="1:14" ht="15.75" thickBot="1" x14ac:dyDescent="0.3">
      <c r="A254" s="57"/>
      <c r="B254" s="1">
        <v>52</v>
      </c>
      <c r="C254" s="98">
        <v>-18.260000000000002</v>
      </c>
      <c r="D254" s="98">
        <v>-10.26</v>
      </c>
      <c r="E254" s="98">
        <v>13.74</v>
      </c>
      <c r="F254" s="88">
        <v>7</v>
      </c>
      <c r="G254" s="108">
        <v>2.30981E-7</v>
      </c>
      <c r="H254" s="98">
        <v>-6.38234E-18</v>
      </c>
      <c r="I254" s="81">
        <v>36</v>
      </c>
      <c r="J254" s="80">
        <f t="shared" si="6"/>
        <v>0</v>
      </c>
      <c r="K254" s="97">
        <v>2.3391099999999998E-13</v>
      </c>
      <c r="L254" s="98">
        <v>-7.4493900000000001E-18</v>
      </c>
      <c r="M254" s="81">
        <v>6</v>
      </c>
      <c r="N254" s="80">
        <f t="shared" si="7"/>
        <v>0</v>
      </c>
    </row>
    <row r="255" spans="1:14" ht="15.75" thickBot="1" x14ac:dyDescent="0.3">
      <c r="A255" s="57"/>
      <c r="B255" s="1">
        <v>53</v>
      </c>
      <c r="C255" s="98">
        <v>78.3</v>
      </c>
      <c r="D255" s="98">
        <v>46.3</v>
      </c>
      <c r="E255" s="98">
        <v>70.3</v>
      </c>
      <c r="F255" s="88">
        <v>8</v>
      </c>
      <c r="G255" s="108">
        <v>62.726999999999997</v>
      </c>
      <c r="H255" s="98">
        <v>-0.92119799999999996</v>
      </c>
      <c r="I255" s="81">
        <v>36</v>
      </c>
      <c r="J255" s="80">
        <f t="shared" si="6"/>
        <v>1</v>
      </c>
      <c r="K255" s="97">
        <v>58.3</v>
      </c>
      <c r="L255" s="98">
        <v>-0.66627000000000003</v>
      </c>
      <c r="M255" s="81">
        <v>4</v>
      </c>
      <c r="N255" s="80">
        <f t="shared" si="7"/>
        <v>0</v>
      </c>
    </row>
    <row r="256" spans="1:14" ht="15.75" thickBot="1" x14ac:dyDescent="0.3">
      <c r="A256" s="57"/>
      <c r="B256" s="1">
        <v>54</v>
      </c>
      <c r="C256" s="98">
        <v>-23.98</v>
      </c>
      <c r="D256" s="98">
        <v>-15.98</v>
      </c>
      <c r="E256" s="98">
        <v>8.02</v>
      </c>
      <c r="F256" s="88">
        <v>7</v>
      </c>
      <c r="G256" s="108">
        <v>1.79651E-7</v>
      </c>
      <c r="H256" s="98">
        <v>-6.8038999999999997E-18</v>
      </c>
      <c r="I256" s="81">
        <v>36</v>
      </c>
      <c r="J256" s="80">
        <f t="shared" si="6"/>
        <v>0</v>
      </c>
      <c r="K256" s="97">
        <v>-3.98</v>
      </c>
      <c r="L256" s="98">
        <v>3.1680800000000002E-4</v>
      </c>
      <c r="M256" s="81">
        <v>4</v>
      </c>
      <c r="N256" s="80">
        <f t="shared" si="7"/>
        <v>0</v>
      </c>
    </row>
    <row r="257" spans="1:14" ht="15.75" thickBot="1" x14ac:dyDescent="0.3">
      <c r="A257" s="57"/>
      <c r="B257" s="1">
        <v>55</v>
      </c>
      <c r="C257" s="98">
        <v>-4.6100000000000003</v>
      </c>
      <c r="D257" s="98">
        <v>-2.61</v>
      </c>
      <c r="E257" s="98">
        <v>3.39</v>
      </c>
      <c r="F257" s="88">
        <v>5</v>
      </c>
      <c r="G257" s="108">
        <v>-1.78814E-7</v>
      </c>
      <c r="H257" s="98">
        <v>-6.8099000000000003E-18</v>
      </c>
      <c r="I257" s="81">
        <v>34</v>
      </c>
      <c r="J257" s="80">
        <f t="shared" si="6"/>
        <v>0</v>
      </c>
      <c r="K257" s="97">
        <v>2.69997E-13</v>
      </c>
      <c r="L257" s="98">
        <v>-7.4493900000000001E-18</v>
      </c>
      <c r="M257" s="81">
        <v>5</v>
      </c>
      <c r="N257" s="80">
        <f t="shared" si="7"/>
        <v>0</v>
      </c>
    </row>
    <row r="258" spans="1:14" ht="15.75" thickBot="1" x14ac:dyDescent="0.3">
      <c r="A258" s="57"/>
      <c r="B258" s="1">
        <v>56</v>
      </c>
      <c r="C258" s="98">
        <v>-56.14</v>
      </c>
      <c r="D258" s="98">
        <v>7.86</v>
      </c>
      <c r="E258" s="98">
        <v>199.86</v>
      </c>
      <c r="F258" s="88">
        <v>10</v>
      </c>
      <c r="G258" s="108">
        <v>62.726999999999997</v>
      </c>
      <c r="H258" s="98">
        <v>-0.92119799999999996</v>
      </c>
      <c r="I258" s="81">
        <v>41</v>
      </c>
      <c r="J258" s="80">
        <f t="shared" si="6"/>
        <v>1</v>
      </c>
      <c r="K258" s="97">
        <v>103.86</v>
      </c>
      <c r="L258" s="98">
        <v>0.21573800000000001</v>
      </c>
      <c r="M258" s="81">
        <v>4</v>
      </c>
      <c r="N258" s="80">
        <f t="shared" si="7"/>
        <v>1</v>
      </c>
    </row>
    <row r="259" spans="1:14" ht="15.75" thickBot="1" x14ac:dyDescent="0.3">
      <c r="A259" s="57"/>
      <c r="B259" s="1">
        <v>57</v>
      </c>
      <c r="C259" s="98">
        <v>27.04</v>
      </c>
      <c r="D259" s="98">
        <v>-36.96</v>
      </c>
      <c r="E259" s="98">
        <v>11.04</v>
      </c>
      <c r="F259" s="88">
        <v>9</v>
      </c>
      <c r="G259" s="108">
        <v>-1.66973E-7</v>
      </c>
      <c r="H259" s="98">
        <v>-6.8917800000000003E-18</v>
      </c>
      <c r="I259" s="81">
        <v>38</v>
      </c>
      <c r="J259" s="80">
        <f t="shared" si="6"/>
        <v>0</v>
      </c>
      <c r="K259" s="97">
        <v>-12.96</v>
      </c>
      <c r="L259" s="98">
        <v>3.3592299999999999E-3</v>
      </c>
      <c r="M259" s="81">
        <v>4</v>
      </c>
      <c r="N259" s="80">
        <f t="shared" si="7"/>
        <v>0</v>
      </c>
    </row>
    <row r="260" spans="1:14" ht="15.75" thickBot="1" x14ac:dyDescent="0.3">
      <c r="A260" s="57"/>
      <c r="B260" s="1">
        <v>58</v>
      </c>
      <c r="C260" s="98">
        <v>-17.07</v>
      </c>
      <c r="D260" s="98">
        <v>-9.07</v>
      </c>
      <c r="E260" s="98">
        <v>14.93</v>
      </c>
      <c r="F260" s="88">
        <v>7</v>
      </c>
      <c r="G260" s="108">
        <v>3.2329100000000001E-7</v>
      </c>
      <c r="H260" s="98">
        <v>-5.35905E-18</v>
      </c>
      <c r="I260" s="81">
        <v>36</v>
      </c>
      <c r="J260" s="80">
        <f t="shared" ref="J260:J303" si="8">IF(G260&lt;60,0,1)</f>
        <v>0</v>
      </c>
      <c r="K260" s="97">
        <v>2.3391000000000001E-13</v>
      </c>
      <c r="L260" s="98">
        <v>-7.4493900000000001E-18</v>
      </c>
      <c r="M260" s="81">
        <v>6</v>
      </c>
      <c r="N260" s="80">
        <f t="shared" ref="N260:N303" si="9">IF(K260&lt;60,0,1)</f>
        <v>0</v>
      </c>
    </row>
    <row r="261" spans="1:14" ht="15.75" thickBot="1" x14ac:dyDescent="0.3">
      <c r="A261" s="57"/>
      <c r="B261" s="1">
        <v>59</v>
      </c>
      <c r="C261" s="98">
        <v>59.77</v>
      </c>
      <c r="D261" s="98">
        <v>60.77</v>
      </c>
      <c r="E261" s="98">
        <v>63.77</v>
      </c>
      <c r="F261" s="88">
        <v>4</v>
      </c>
      <c r="G261" s="108">
        <v>62.726999999999997</v>
      </c>
      <c r="H261" s="98">
        <v>-0.92119799999999996</v>
      </c>
      <c r="I261" s="81">
        <v>32</v>
      </c>
      <c r="J261" s="80">
        <f t="shared" si="8"/>
        <v>1</v>
      </c>
      <c r="K261" s="97">
        <v>62.27</v>
      </c>
      <c r="L261" s="98">
        <v>-0.91807000000000005</v>
      </c>
      <c r="M261" s="81">
        <v>4</v>
      </c>
      <c r="N261" s="80">
        <f t="shared" si="9"/>
        <v>1</v>
      </c>
    </row>
    <row r="262" spans="1:14" ht="15.75" thickBot="1" x14ac:dyDescent="0.3">
      <c r="A262" s="57"/>
      <c r="B262" s="1">
        <v>60</v>
      </c>
      <c r="C262" s="98">
        <v>-50.56</v>
      </c>
      <c r="D262" s="98">
        <v>-18.559999999999999</v>
      </c>
      <c r="E262" s="98">
        <v>77.44</v>
      </c>
      <c r="F262" s="88">
        <v>9</v>
      </c>
      <c r="G262" s="108">
        <v>-2.8143099999999997E-7</v>
      </c>
      <c r="H262" s="98">
        <v>-5.8653099999999996E-18</v>
      </c>
      <c r="I262" s="81">
        <v>39</v>
      </c>
      <c r="J262" s="80">
        <f t="shared" si="8"/>
        <v>0</v>
      </c>
      <c r="K262" s="97">
        <v>-0.89411600000000002</v>
      </c>
      <c r="L262" s="98">
        <v>1.5988899999999999E-5</v>
      </c>
      <c r="M262" s="81">
        <v>5</v>
      </c>
      <c r="N262" s="80">
        <f t="shared" si="9"/>
        <v>0</v>
      </c>
    </row>
    <row r="263" spans="1:14" ht="15.75" thickBot="1" x14ac:dyDescent="0.3">
      <c r="A263" s="57"/>
      <c r="B263" s="1">
        <v>61</v>
      </c>
      <c r="C263" s="98">
        <v>51.89</v>
      </c>
      <c r="D263" s="98">
        <v>55.89</v>
      </c>
      <c r="E263" s="98">
        <v>67.89</v>
      </c>
      <c r="F263" s="88">
        <v>6</v>
      </c>
      <c r="G263" s="108">
        <v>62.726999999999997</v>
      </c>
      <c r="H263" s="98">
        <v>-0.92119799999999996</v>
      </c>
      <c r="I263" s="81">
        <v>35</v>
      </c>
      <c r="J263" s="80">
        <f t="shared" si="8"/>
        <v>1</v>
      </c>
      <c r="K263" s="97">
        <v>61.89</v>
      </c>
      <c r="L263" s="98">
        <v>-0.91074999999999995</v>
      </c>
      <c r="M263" s="81">
        <v>4</v>
      </c>
      <c r="N263" s="80">
        <f t="shared" si="9"/>
        <v>1</v>
      </c>
    </row>
    <row r="264" spans="1:14" ht="15.75" thickBot="1" x14ac:dyDescent="0.3">
      <c r="A264" s="57"/>
      <c r="B264" s="1">
        <v>62</v>
      </c>
      <c r="C264" s="98">
        <v>27.47</v>
      </c>
      <c r="D264" s="98">
        <v>-36.53</v>
      </c>
      <c r="E264" s="98">
        <v>11.47</v>
      </c>
      <c r="F264" s="88">
        <v>9</v>
      </c>
      <c r="G264" s="108">
        <v>3.0705100000000001E-7</v>
      </c>
      <c r="H264" s="98">
        <v>-5.5637899999999999E-18</v>
      </c>
      <c r="I264" s="81">
        <v>38</v>
      </c>
      <c r="J264" s="80">
        <f t="shared" si="8"/>
        <v>0</v>
      </c>
      <c r="K264" s="97">
        <v>-12.53</v>
      </c>
      <c r="L264" s="98">
        <v>3.1400199999999999E-3</v>
      </c>
      <c r="M264" s="81">
        <v>4</v>
      </c>
      <c r="N264" s="80">
        <f t="shared" si="9"/>
        <v>0</v>
      </c>
    </row>
    <row r="265" spans="1:14" ht="15.75" thickBot="1" x14ac:dyDescent="0.3">
      <c r="A265" s="57"/>
      <c r="B265" s="1">
        <v>63</v>
      </c>
      <c r="C265" s="98">
        <v>-31.43</v>
      </c>
      <c r="D265" s="98">
        <v>-15.43</v>
      </c>
      <c r="E265" s="98">
        <v>32.57</v>
      </c>
      <c r="F265" s="88">
        <v>8</v>
      </c>
      <c r="G265" s="108">
        <v>-1.8941900000000001E-7</v>
      </c>
      <c r="H265" s="98">
        <v>-6.7317900000000001E-18</v>
      </c>
      <c r="I265" s="81">
        <v>38</v>
      </c>
      <c r="J265" s="80">
        <f t="shared" si="8"/>
        <v>0</v>
      </c>
      <c r="K265" s="97">
        <v>-1.5815900000000001E-2</v>
      </c>
      <c r="L265" s="98">
        <v>5.0028399999999997E-9</v>
      </c>
      <c r="M265" s="81">
        <v>5</v>
      </c>
      <c r="N265" s="80">
        <f t="shared" si="9"/>
        <v>0</v>
      </c>
    </row>
    <row r="266" spans="1:14" ht="15.75" thickBot="1" x14ac:dyDescent="0.3">
      <c r="A266" s="57"/>
      <c r="B266" s="1">
        <v>64</v>
      </c>
      <c r="C266" s="98">
        <v>-5.94</v>
      </c>
      <c r="D266" s="98">
        <v>-3.94</v>
      </c>
      <c r="E266" s="98">
        <v>2.06</v>
      </c>
      <c r="F266" s="88">
        <v>5</v>
      </c>
      <c r="G266" s="108">
        <v>2.0590699999999999E-7</v>
      </c>
      <c r="H266" s="98">
        <v>-6.6014300000000002E-18</v>
      </c>
      <c r="I266" s="81">
        <v>34</v>
      </c>
      <c r="J266" s="80">
        <f t="shared" si="8"/>
        <v>0</v>
      </c>
      <c r="K266" s="97">
        <v>-0.94</v>
      </c>
      <c r="L266" s="98">
        <v>1.7672E-5</v>
      </c>
      <c r="M266" s="81">
        <v>4</v>
      </c>
      <c r="N266" s="80">
        <f t="shared" si="9"/>
        <v>0</v>
      </c>
    </row>
    <row r="267" spans="1:14" ht="15.75" thickBot="1" x14ac:dyDescent="0.3">
      <c r="A267" s="57"/>
      <c r="B267" s="1">
        <v>65</v>
      </c>
      <c r="C267" s="98">
        <v>-77.27</v>
      </c>
      <c r="D267" s="98">
        <v>-13.27</v>
      </c>
      <c r="E267" s="98">
        <v>178.73</v>
      </c>
      <c r="F267" s="88">
        <v>10</v>
      </c>
      <c r="G267" s="108">
        <v>62.726999999999997</v>
      </c>
      <c r="H267" s="98">
        <v>-0.92119799999999996</v>
      </c>
      <c r="I267" s="81">
        <v>41</v>
      </c>
      <c r="J267" s="80">
        <f t="shared" si="8"/>
        <v>1</v>
      </c>
      <c r="K267" s="97">
        <v>-3.5887500000000001</v>
      </c>
      <c r="L267" s="98">
        <v>2.5758200000000001E-4</v>
      </c>
      <c r="M267" s="81">
        <v>5</v>
      </c>
      <c r="N267" s="80">
        <f t="shared" si="9"/>
        <v>0</v>
      </c>
    </row>
    <row r="268" spans="1:14" ht="15.75" thickBot="1" x14ac:dyDescent="0.3">
      <c r="A268" s="57"/>
      <c r="B268" s="1">
        <v>66</v>
      </c>
      <c r="C268" s="98">
        <v>-3.34</v>
      </c>
      <c r="D268" s="98">
        <v>-1.34</v>
      </c>
      <c r="E268" s="98">
        <v>4.66</v>
      </c>
      <c r="F268" s="88">
        <v>5</v>
      </c>
      <c r="G268" s="108">
        <v>3.14279E-7</v>
      </c>
      <c r="H268" s="98">
        <v>-5.4739599999999998E-18</v>
      </c>
      <c r="I268" s="81">
        <v>34</v>
      </c>
      <c r="J268" s="80">
        <f t="shared" si="8"/>
        <v>0</v>
      </c>
      <c r="K268" s="97">
        <v>-3.1080500000000001E-13</v>
      </c>
      <c r="L268" s="98">
        <v>-7.4493900000000001E-18</v>
      </c>
      <c r="M268" s="81">
        <v>5</v>
      </c>
      <c r="N268" s="80">
        <f t="shared" si="9"/>
        <v>0</v>
      </c>
    </row>
    <row r="269" spans="1:14" ht="15.75" thickBot="1" x14ac:dyDescent="0.3">
      <c r="A269" s="57"/>
      <c r="B269" s="1">
        <v>67</v>
      </c>
      <c r="C269" s="98">
        <v>77.5</v>
      </c>
      <c r="D269" s="98">
        <v>45.5</v>
      </c>
      <c r="E269" s="98">
        <v>69.5</v>
      </c>
      <c r="F269" s="88">
        <v>8</v>
      </c>
      <c r="G269" s="108">
        <v>62.726999999999997</v>
      </c>
      <c r="H269" s="98">
        <v>-0.92119799999999996</v>
      </c>
      <c r="I269" s="81">
        <v>36</v>
      </c>
      <c r="J269" s="80">
        <f t="shared" si="8"/>
        <v>1</v>
      </c>
      <c r="K269" s="97">
        <v>57.5</v>
      </c>
      <c r="L269" s="98">
        <v>-0.58416500000000005</v>
      </c>
      <c r="M269" s="81">
        <v>4</v>
      </c>
      <c r="N269" s="80">
        <f t="shared" si="9"/>
        <v>0</v>
      </c>
    </row>
    <row r="270" spans="1:14" ht="15.75" thickBot="1" x14ac:dyDescent="0.3">
      <c r="A270" s="57"/>
      <c r="B270" s="1">
        <v>68</v>
      </c>
      <c r="C270" s="98">
        <v>-71.510000000000005</v>
      </c>
      <c r="D270" s="98">
        <v>-7.51</v>
      </c>
      <c r="E270" s="98">
        <v>184.49</v>
      </c>
      <c r="F270" s="88">
        <v>10</v>
      </c>
      <c r="G270" s="108">
        <v>62.726999999999997</v>
      </c>
      <c r="H270" s="98">
        <v>-0.92119799999999996</v>
      </c>
      <c r="I270" s="81">
        <v>41</v>
      </c>
      <c r="J270" s="80">
        <f t="shared" si="8"/>
        <v>1</v>
      </c>
      <c r="K270" s="97">
        <v>-0.55134300000000003</v>
      </c>
      <c r="L270" s="98">
        <v>6.0795799999999997E-6</v>
      </c>
      <c r="M270" s="81">
        <v>5</v>
      </c>
      <c r="N270" s="80">
        <f t="shared" si="9"/>
        <v>0</v>
      </c>
    </row>
    <row r="271" spans="1:14" ht="15.75" thickBot="1" x14ac:dyDescent="0.3">
      <c r="A271" s="57"/>
      <c r="B271" s="1">
        <v>69</v>
      </c>
      <c r="C271" s="98">
        <v>3.61</v>
      </c>
      <c r="D271" s="98">
        <v>-4.3899999999999997</v>
      </c>
      <c r="E271" s="98">
        <v>1.61</v>
      </c>
      <c r="F271" s="88">
        <v>6</v>
      </c>
      <c r="G271" s="108">
        <v>2.8718600000000001E-7</v>
      </c>
      <c r="H271" s="98">
        <v>-5.7998700000000002E-18</v>
      </c>
      <c r="I271" s="81">
        <v>34</v>
      </c>
      <c r="J271" s="80">
        <f t="shared" si="8"/>
        <v>0</v>
      </c>
      <c r="K271" s="97">
        <v>-1.39</v>
      </c>
      <c r="L271" s="98">
        <v>3.8642E-5</v>
      </c>
      <c r="M271" s="81">
        <v>4</v>
      </c>
      <c r="N271" s="80">
        <f t="shared" si="9"/>
        <v>0</v>
      </c>
    </row>
    <row r="272" spans="1:14" ht="15.75" thickBot="1" x14ac:dyDescent="0.3">
      <c r="A272" s="57"/>
      <c r="B272" s="1">
        <v>70</v>
      </c>
      <c r="C272" s="98">
        <v>59.59</v>
      </c>
      <c r="D272" s="98">
        <v>61.59</v>
      </c>
      <c r="E272" s="98">
        <v>67.59</v>
      </c>
      <c r="F272" s="88">
        <v>5</v>
      </c>
      <c r="G272" s="108">
        <v>62.726999999999997</v>
      </c>
      <c r="H272" s="98">
        <v>-0.92119799999999996</v>
      </c>
      <c r="I272" s="81">
        <v>34</v>
      </c>
      <c r="J272" s="80">
        <f t="shared" si="8"/>
        <v>1</v>
      </c>
      <c r="K272" s="97">
        <v>62.660499999999999</v>
      </c>
      <c r="L272" s="98">
        <v>-0.92113199999999995</v>
      </c>
      <c r="M272" s="81">
        <v>5</v>
      </c>
      <c r="N272" s="80">
        <f t="shared" si="9"/>
        <v>1</v>
      </c>
    </row>
    <row r="273" spans="1:14" ht="15.75" thickBot="1" x14ac:dyDescent="0.3">
      <c r="A273" s="57"/>
      <c r="B273" s="1">
        <v>71</v>
      </c>
      <c r="C273" s="98">
        <v>80.75</v>
      </c>
      <c r="D273" s="98">
        <v>48.75</v>
      </c>
      <c r="E273" s="98">
        <v>72.75</v>
      </c>
      <c r="F273" s="88">
        <v>8</v>
      </c>
      <c r="G273" s="108">
        <v>62.726999999999997</v>
      </c>
      <c r="H273" s="98">
        <v>-0.92119799999999996</v>
      </c>
      <c r="I273" s="81">
        <v>36</v>
      </c>
      <c r="J273" s="80">
        <f t="shared" si="8"/>
        <v>1</v>
      </c>
      <c r="K273" s="97">
        <v>60.75</v>
      </c>
      <c r="L273" s="98">
        <v>-0.86433099999999996</v>
      </c>
      <c r="M273" s="81">
        <v>4</v>
      </c>
      <c r="N273" s="80">
        <f t="shared" si="9"/>
        <v>1</v>
      </c>
    </row>
    <row r="274" spans="1:14" ht="15.75" thickBot="1" x14ac:dyDescent="0.3">
      <c r="A274" s="57"/>
      <c r="B274" s="1">
        <v>72</v>
      </c>
      <c r="C274" s="98">
        <v>-81.010000000000005</v>
      </c>
      <c r="D274" s="98">
        <v>-49.01</v>
      </c>
      <c r="E274" s="98">
        <v>46.99</v>
      </c>
      <c r="F274" s="88">
        <v>9</v>
      </c>
      <c r="G274" s="108">
        <v>-8.3549800000000006E-8</v>
      </c>
      <c r="H274" s="98">
        <v>-7.3097700000000002E-18</v>
      </c>
      <c r="I274" s="81">
        <v>39</v>
      </c>
      <c r="J274" s="80">
        <f t="shared" si="8"/>
        <v>0</v>
      </c>
      <c r="K274" s="97">
        <v>-1.01</v>
      </c>
      <c r="L274" s="98">
        <v>2.0401999999999999E-5</v>
      </c>
      <c r="M274" s="81">
        <v>4</v>
      </c>
      <c r="N274" s="80">
        <f t="shared" si="9"/>
        <v>0</v>
      </c>
    </row>
    <row r="275" spans="1:14" ht="15.75" thickBot="1" x14ac:dyDescent="0.3">
      <c r="A275" s="57"/>
      <c r="B275" s="1">
        <v>73</v>
      </c>
      <c r="C275" s="98">
        <v>-20.75</v>
      </c>
      <c r="D275" s="98">
        <v>-12.75</v>
      </c>
      <c r="E275" s="98">
        <v>11.25</v>
      </c>
      <c r="F275" s="88">
        <v>7</v>
      </c>
      <c r="G275" s="108">
        <v>-2.7941399999999999E-7</v>
      </c>
      <c r="H275" s="98">
        <v>-5.8879399999999998E-18</v>
      </c>
      <c r="I275" s="81">
        <v>36</v>
      </c>
      <c r="J275" s="80">
        <f t="shared" si="8"/>
        <v>0</v>
      </c>
      <c r="K275" s="97">
        <v>-0.75</v>
      </c>
      <c r="L275" s="98">
        <v>1.1250000000000001E-5</v>
      </c>
      <c r="M275" s="81">
        <v>4</v>
      </c>
      <c r="N275" s="80">
        <f t="shared" si="9"/>
        <v>0</v>
      </c>
    </row>
    <row r="276" spans="1:14" ht="15.75" thickBot="1" x14ac:dyDescent="0.3">
      <c r="A276" s="57"/>
      <c r="B276" s="1">
        <v>74</v>
      </c>
      <c r="C276" s="98">
        <v>-75.44</v>
      </c>
      <c r="D276" s="98">
        <v>-11.44</v>
      </c>
      <c r="E276" s="98">
        <v>180.56</v>
      </c>
      <c r="F276" s="88">
        <v>10</v>
      </c>
      <c r="G276" s="108">
        <v>62.726999999999997</v>
      </c>
      <c r="H276" s="98">
        <v>-0.92119799999999996</v>
      </c>
      <c r="I276" s="81">
        <v>41</v>
      </c>
      <c r="J276" s="80">
        <f t="shared" si="8"/>
        <v>1</v>
      </c>
      <c r="K276" s="97">
        <v>-2.34504</v>
      </c>
      <c r="L276" s="98">
        <v>1.09984E-4</v>
      </c>
      <c r="M276" s="81">
        <v>5</v>
      </c>
      <c r="N276" s="80">
        <f t="shared" si="9"/>
        <v>0</v>
      </c>
    </row>
    <row r="277" spans="1:14" ht="15.75" thickBot="1" x14ac:dyDescent="0.3">
      <c r="A277" s="57"/>
      <c r="B277" s="1">
        <v>75</v>
      </c>
      <c r="C277" s="98">
        <v>82.65</v>
      </c>
      <c r="D277" s="98">
        <v>50.65</v>
      </c>
      <c r="E277" s="98">
        <v>74.650000000000006</v>
      </c>
      <c r="F277" s="88">
        <v>8</v>
      </c>
      <c r="G277" s="108">
        <v>62.726999999999997</v>
      </c>
      <c r="H277" s="98">
        <v>-0.92119799999999996</v>
      </c>
      <c r="I277" s="81">
        <v>36</v>
      </c>
      <c r="J277" s="80">
        <f t="shared" si="8"/>
        <v>1</v>
      </c>
      <c r="K277" s="97">
        <v>62.65</v>
      </c>
      <c r="L277" s="98">
        <v>-0.92110899999999996</v>
      </c>
      <c r="M277" s="81">
        <v>5</v>
      </c>
      <c r="N277" s="80">
        <f t="shared" si="9"/>
        <v>1</v>
      </c>
    </row>
    <row r="278" spans="1:14" ht="15.75" thickBot="1" x14ac:dyDescent="0.3">
      <c r="A278" s="57"/>
      <c r="B278" s="1">
        <v>76</v>
      </c>
      <c r="C278" s="98">
        <v>-54.52</v>
      </c>
      <c r="D278" s="98">
        <v>9.48</v>
      </c>
      <c r="E278" s="98">
        <v>201.48</v>
      </c>
      <c r="F278" s="88">
        <v>10</v>
      </c>
      <c r="G278" s="108">
        <v>62.726999999999997</v>
      </c>
      <c r="H278" s="98">
        <v>-0.92119799999999996</v>
      </c>
      <c r="I278" s="81">
        <v>41</v>
      </c>
      <c r="J278" s="80">
        <f t="shared" si="8"/>
        <v>1</v>
      </c>
      <c r="K278" s="97">
        <v>105.48</v>
      </c>
      <c r="L278" s="98">
        <v>0.222521</v>
      </c>
      <c r="M278" s="81">
        <v>4</v>
      </c>
      <c r="N278" s="80">
        <f t="shared" si="9"/>
        <v>1</v>
      </c>
    </row>
    <row r="279" spans="1:14" ht="15.75" thickBot="1" x14ac:dyDescent="0.3">
      <c r="A279" s="57"/>
      <c r="B279" s="1">
        <v>77</v>
      </c>
      <c r="C279" s="98">
        <v>-98.92</v>
      </c>
      <c r="D279" s="98">
        <v>-34.92</v>
      </c>
      <c r="E279" s="98">
        <v>157.08000000000001</v>
      </c>
      <c r="F279" s="88">
        <v>10</v>
      </c>
      <c r="G279" s="108">
        <v>2.9744699999999998E-7</v>
      </c>
      <c r="H279" s="98">
        <v>-5.6798900000000004E-18</v>
      </c>
      <c r="I279" s="81">
        <v>41</v>
      </c>
      <c r="J279" s="80">
        <f t="shared" si="8"/>
        <v>0</v>
      </c>
      <c r="K279" s="97">
        <v>61.08</v>
      </c>
      <c r="L279" s="98">
        <v>-0.88137399999999999</v>
      </c>
      <c r="M279" s="81">
        <v>5</v>
      </c>
      <c r="N279" s="80">
        <f t="shared" si="9"/>
        <v>1</v>
      </c>
    </row>
    <row r="280" spans="1:14" ht="15.75" thickBot="1" x14ac:dyDescent="0.3">
      <c r="A280" s="57"/>
      <c r="B280" s="1">
        <v>78</v>
      </c>
      <c r="C280" s="98">
        <v>61.41</v>
      </c>
      <c r="D280" s="98">
        <v>61.41</v>
      </c>
      <c r="E280" s="98">
        <v>63.41</v>
      </c>
      <c r="F280" s="88">
        <v>3</v>
      </c>
      <c r="G280" s="108">
        <v>62.726999999999997</v>
      </c>
      <c r="H280" s="98">
        <v>-0.92119799999999996</v>
      </c>
      <c r="I280" s="81">
        <v>31</v>
      </c>
      <c r="J280" s="80">
        <f t="shared" si="8"/>
        <v>1</v>
      </c>
      <c r="K280" s="97">
        <v>62.41</v>
      </c>
      <c r="L280" s="98">
        <v>-0.91969199999999995</v>
      </c>
      <c r="M280" s="81">
        <v>4</v>
      </c>
      <c r="N280" s="80">
        <f t="shared" si="9"/>
        <v>1</v>
      </c>
    </row>
    <row r="281" spans="1:14" ht="15.75" thickBot="1" x14ac:dyDescent="0.3">
      <c r="A281" s="57"/>
      <c r="B281" s="1">
        <v>79</v>
      </c>
      <c r="C281" s="98">
        <v>80.34</v>
      </c>
      <c r="D281" s="98">
        <v>48.34</v>
      </c>
      <c r="E281" s="98">
        <v>72.34</v>
      </c>
      <c r="F281" s="88">
        <v>8</v>
      </c>
      <c r="G281" s="108">
        <v>62.726999999999997</v>
      </c>
      <c r="H281" s="98">
        <v>-0.92119799999999996</v>
      </c>
      <c r="I281" s="81">
        <v>36</v>
      </c>
      <c r="J281" s="80">
        <f t="shared" si="8"/>
        <v>1</v>
      </c>
      <c r="K281" s="97">
        <v>60.34</v>
      </c>
      <c r="L281" s="98">
        <v>-0.83938800000000002</v>
      </c>
      <c r="M281" s="81">
        <v>4</v>
      </c>
      <c r="N281" s="80">
        <f t="shared" si="9"/>
        <v>1</v>
      </c>
    </row>
    <row r="282" spans="1:14" ht="15.75" thickBot="1" x14ac:dyDescent="0.3">
      <c r="A282" s="57"/>
      <c r="B282" s="1">
        <v>80</v>
      </c>
      <c r="C282" s="98">
        <v>50.04</v>
      </c>
      <c r="D282" s="98">
        <v>58.04</v>
      </c>
      <c r="E282" s="98">
        <v>82.04</v>
      </c>
      <c r="F282" s="88">
        <v>7</v>
      </c>
      <c r="G282" s="108">
        <v>62.726999999999997</v>
      </c>
      <c r="H282" s="98">
        <v>-0.92119799999999996</v>
      </c>
      <c r="I282" s="81">
        <v>36</v>
      </c>
      <c r="J282" s="80">
        <f t="shared" si="8"/>
        <v>1</v>
      </c>
      <c r="K282" s="97">
        <v>70.040000000000006</v>
      </c>
      <c r="L282" s="98">
        <v>-0.34667100000000001</v>
      </c>
      <c r="M282" s="81">
        <v>4</v>
      </c>
      <c r="N282" s="80">
        <f t="shared" si="9"/>
        <v>1</v>
      </c>
    </row>
    <row r="283" spans="1:14" ht="15.75" thickBot="1" x14ac:dyDescent="0.3">
      <c r="A283" s="57"/>
      <c r="B283" s="1">
        <v>81</v>
      </c>
      <c r="C283" s="98">
        <v>-93.62</v>
      </c>
      <c r="D283" s="98">
        <v>-61.62</v>
      </c>
      <c r="E283" s="98">
        <v>34.380000000000003</v>
      </c>
      <c r="F283" s="88">
        <v>9</v>
      </c>
      <c r="G283" s="108">
        <v>2.4332100000000001E-7</v>
      </c>
      <c r="H283" s="98">
        <v>-6.2652900000000003E-18</v>
      </c>
      <c r="I283" s="81">
        <v>39</v>
      </c>
      <c r="J283" s="80">
        <f t="shared" si="8"/>
        <v>0</v>
      </c>
      <c r="K283" s="97">
        <v>-13.62</v>
      </c>
      <c r="L283" s="98">
        <v>3.7100900000000001E-3</v>
      </c>
      <c r="M283" s="81">
        <v>4</v>
      </c>
      <c r="N283" s="80">
        <f t="shared" si="9"/>
        <v>0</v>
      </c>
    </row>
    <row r="284" spans="1:14" ht="15.75" thickBot="1" x14ac:dyDescent="0.3">
      <c r="A284" s="57"/>
      <c r="B284" s="1">
        <v>82</v>
      </c>
      <c r="C284" s="98">
        <v>31.55</v>
      </c>
      <c r="D284" s="98">
        <v>-32.450000000000003</v>
      </c>
      <c r="E284" s="98">
        <v>15.55</v>
      </c>
      <c r="F284" s="88">
        <v>9</v>
      </c>
      <c r="G284" s="108">
        <v>1.6285500000000001E-7</v>
      </c>
      <c r="H284" s="98">
        <v>-6.9189499999999997E-18</v>
      </c>
      <c r="I284" s="81">
        <v>38</v>
      </c>
      <c r="J284" s="80">
        <f t="shared" si="8"/>
        <v>0</v>
      </c>
      <c r="K284" s="97">
        <v>-8.4499999999999993</v>
      </c>
      <c r="L284" s="98">
        <v>1.4280499999999999E-3</v>
      </c>
      <c r="M284" s="81">
        <v>4</v>
      </c>
      <c r="N284" s="80">
        <f t="shared" si="9"/>
        <v>0</v>
      </c>
    </row>
    <row r="285" spans="1:14" ht="15.75" thickBot="1" x14ac:dyDescent="0.3">
      <c r="A285" s="57"/>
      <c r="B285" s="1">
        <v>83</v>
      </c>
      <c r="C285" s="98">
        <v>-38.83</v>
      </c>
      <c r="D285" s="98">
        <v>-22.83</v>
      </c>
      <c r="E285" s="98">
        <v>25.17</v>
      </c>
      <c r="F285" s="88">
        <v>8</v>
      </c>
      <c r="G285" s="108">
        <v>-6.9254099999999998E-8</v>
      </c>
      <c r="H285" s="98">
        <v>-7.3534599999999997E-18</v>
      </c>
      <c r="I285" s="81">
        <v>38</v>
      </c>
      <c r="J285" s="80">
        <f t="shared" si="8"/>
        <v>0</v>
      </c>
      <c r="K285" s="97">
        <v>-2.7013500000000001E-4</v>
      </c>
      <c r="L285" s="98">
        <v>1.45945E-12</v>
      </c>
      <c r="M285" s="81">
        <v>5</v>
      </c>
      <c r="N285" s="80">
        <f t="shared" si="9"/>
        <v>0</v>
      </c>
    </row>
    <row r="286" spans="1:14" ht="15.75" thickBot="1" x14ac:dyDescent="0.3">
      <c r="A286" s="57"/>
      <c r="B286" s="1">
        <v>84</v>
      </c>
      <c r="C286" s="98">
        <v>-14.56</v>
      </c>
      <c r="D286" s="98">
        <v>-6.56</v>
      </c>
      <c r="E286" s="98">
        <v>17.440000000000001</v>
      </c>
      <c r="F286" s="88">
        <v>7</v>
      </c>
      <c r="G286" s="108">
        <v>3.5102500000000001E-7</v>
      </c>
      <c r="H286" s="98">
        <v>-4.9850200000000003E-18</v>
      </c>
      <c r="I286" s="81">
        <v>36</v>
      </c>
      <c r="J286" s="80">
        <f t="shared" si="8"/>
        <v>0</v>
      </c>
      <c r="K286" s="97">
        <v>-1.9418900000000001E-8</v>
      </c>
      <c r="L286" s="98">
        <v>-7.4418400000000005E-18</v>
      </c>
      <c r="M286" s="81">
        <v>5</v>
      </c>
      <c r="N286" s="80">
        <f t="shared" si="9"/>
        <v>0</v>
      </c>
    </row>
    <row r="287" spans="1:14" ht="15.75" thickBot="1" x14ac:dyDescent="0.3">
      <c r="A287" s="57"/>
      <c r="B287" s="1">
        <v>85</v>
      </c>
      <c r="C287" s="98">
        <v>94.48</v>
      </c>
      <c r="D287" s="98">
        <v>30.48</v>
      </c>
      <c r="E287" s="98">
        <v>78.48</v>
      </c>
      <c r="F287" s="88">
        <v>9</v>
      </c>
      <c r="G287" s="108">
        <v>62.726999999999997</v>
      </c>
      <c r="H287" s="98">
        <v>-0.92119799999999996</v>
      </c>
      <c r="I287" s="81">
        <v>38</v>
      </c>
      <c r="J287" s="80">
        <f t="shared" si="8"/>
        <v>1</v>
      </c>
      <c r="K287" s="97">
        <v>54.48</v>
      </c>
      <c r="L287" s="98">
        <v>-0.27646900000000002</v>
      </c>
      <c r="M287" s="81">
        <v>5</v>
      </c>
      <c r="N287" s="80">
        <f t="shared" si="9"/>
        <v>0</v>
      </c>
    </row>
    <row r="288" spans="1:14" ht="15.75" thickBot="1" x14ac:dyDescent="0.3">
      <c r="A288" s="57"/>
      <c r="B288" s="1">
        <v>86</v>
      </c>
      <c r="C288" s="98">
        <v>-5.84</v>
      </c>
      <c r="D288" s="98">
        <v>-3.84</v>
      </c>
      <c r="E288" s="98">
        <v>2.16</v>
      </c>
      <c r="F288" s="88">
        <v>5</v>
      </c>
      <c r="G288" s="108">
        <v>2.6009300000000002E-7</v>
      </c>
      <c r="H288" s="98">
        <v>-6.0964199999999996E-18</v>
      </c>
      <c r="I288" s="81">
        <v>34</v>
      </c>
      <c r="J288" s="80">
        <f t="shared" si="8"/>
        <v>0</v>
      </c>
      <c r="K288" s="97">
        <v>-0.84</v>
      </c>
      <c r="L288" s="98">
        <v>1.4112E-5</v>
      </c>
      <c r="M288" s="81">
        <v>4</v>
      </c>
      <c r="N288" s="80">
        <f t="shared" si="9"/>
        <v>0</v>
      </c>
    </row>
    <row r="289" spans="1:14" ht="15.75" thickBot="1" x14ac:dyDescent="0.3">
      <c r="A289" s="57"/>
      <c r="B289" s="1">
        <v>87</v>
      </c>
      <c r="C289" s="98">
        <v>-49.17</v>
      </c>
      <c r="D289" s="98">
        <v>-17.170000000000002</v>
      </c>
      <c r="E289" s="98">
        <v>78.83</v>
      </c>
      <c r="F289" s="88">
        <v>9</v>
      </c>
      <c r="G289" s="108">
        <v>-1.31921E-8</v>
      </c>
      <c r="H289" s="98">
        <v>-7.4459099999999995E-18</v>
      </c>
      <c r="I289" s="81">
        <v>39</v>
      </c>
      <c r="J289" s="80">
        <f t="shared" si="8"/>
        <v>0</v>
      </c>
      <c r="K289" s="97">
        <v>-1.0491199999999999E-2</v>
      </c>
      <c r="L289" s="98">
        <v>2.20132E-9</v>
      </c>
      <c r="M289" s="81">
        <v>6</v>
      </c>
      <c r="N289" s="80">
        <f t="shared" si="9"/>
        <v>0</v>
      </c>
    </row>
    <row r="290" spans="1:14" ht="15.75" thickBot="1" x14ac:dyDescent="0.3">
      <c r="A290" s="57"/>
      <c r="B290" s="1">
        <v>88</v>
      </c>
      <c r="C290" s="98">
        <v>-54.13</v>
      </c>
      <c r="D290" s="98">
        <v>9.8699999999999992</v>
      </c>
      <c r="E290" s="98">
        <v>201.87</v>
      </c>
      <c r="F290" s="88">
        <v>10</v>
      </c>
      <c r="G290" s="108">
        <v>62.726999999999997</v>
      </c>
      <c r="H290" s="98">
        <v>-0.92119799999999996</v>
      </c>
      <c r="I290" s="81">
        <v>41</v>
      </c>
      <c r="J290" s="80">
        <f t="shared" si="8"/>
        <v>1</v>
      </c>
      <c r="K290" s="97">
        <v>105.87</v>
      </c>
      <c r="L290" s="98">
        <v>0.22416900000000001</v>
      </c>
      <c r="M290" s="81">
        <v>4</v>
      </c>
      <c r="N290" s="80">
        <f t="shared" si="9"/>
        <v>1</v>
      </c>
    </row>
    <row r="291" spans="1:14" ht="15.75" thickBot="1" x14ac:dyDescent="0.3">
      <c r="A291" s="57"/>
      <c r="B291" s="1">
        <v>89</v>
      </c>
      <c r="C291" s="98">
        <v>-99.16</v>
      </c>
      <c r="D291" s="98">
        <v>-35.159999999999997</v>
      </c>
      <c r="E291" s="98">
        <v>156.84</v>
      </c>
      <c r="F291" s="88">
        <v>10</v>
      </c>
      <c r="G291" s="108">
        <v>-3.2607000000000001E-7</v>
      </c>
      <c r="H291" s="98">
        <v>-5.3229499999999999E-18</v>
      </c>
      <c r="I291" s="81">
        <v>41</v>
      </c>
      <c r="J291" s="80">
        <f t="shared" si="8"/>
        <v>0</v>
      </c>
      <c r="K291" s="97">
        <v>60.84</v>
      </c>
      <c r="L291" s="98">
        <v>-0.86925600000000003</v>
      </c>
      <c r="M291" s="81">
        <v>5</v>
      </c>
      <c r="N291" s="80">
        <f t="shared" si="9"/>
        <v>1</v>
      </c>
    </row>
    <row r="292" spans="1:14" ht="15.75" thickBot="1" x14ac:dyDescent="0.3">
      <c r="A292" s="57"/>
      <c r="B292" s="1">
        <v>90</v>
      </c>
      <c r="C292" s="98">
        <v>3.34</v>
      </c>
      <c r="D292" s="98">
        <v>-4.66</v>
      </c>
      <c r="E292" s="98">
        <v>1.34</v>
      </c>
      <c r="F292" s="88">
        <v>6</v>
      </c>
      <c r="G292" s="108">
        <v>-3.14279E-7</v>
      </c>
      <c r="H292" s="98">
        <v>-5.4739599999999998E-18</v>
      </c>
      <c r="I292" s="81">
        <v>34</v>
      </c>
      <c r="J292" s="80">
        <f t="shared" si="8"/>
        <v>0</v>
      </c>
      <c r="K292" s="97">
        <v>-1.66</v>
      </c>
      <c r="L292" s="98">
        <v>5.5111999999999997E-5</v>
      </c>
      <c r="M292" s="81">
        <v>4</v>
      </c>
      <c r="N292" s="80">
        <f t="shared" si="9"/>
        <v>0</v>
      </c>
    </row>
    <row r="293" spans="1:14" ht="15.75" thickBot="1" x14ac:dyDescent="0.3">
      <c r="A293" s="57"/>
      <c r="B293" s="1">
        <v>91</v>
      </c>
      <c r="C293" s="98">
        <v>-56.46</v>
      </c>
      <c r="D293" s="98">
        <v>7.54</v>
      </c>
      <c r="E293" s="98">
        <v>199.54</v>
      </c>
      <c r="F293" s="88">
        <v>10</v>
      </c>
      <c r="G293" s="108">
        <v>62.726999999999997</v>
      </c>
      <c r="H293" s="98">
        <v>-0.92119799999999996</v>
      </c>
      <c r="I293" s="81">
        <v>41</v>
      </c>
      <c r="J293" s="80">
        <f t="shared" si="8"/>
        <v>1</v>
      </c>
      <c r="K293" s="97">
        <v>103.54</v>
      </c>
      <c r="L293" s="98">
        <v>0.21441099999999999</v>
      </c>
      <c r="M293" s="81">
        <v>4</v>
      </c>
      <c r="N293" s="80">
        <f t="shared" si="9"/>
        <v>1</v>
      </c>
    </row>
    <row r="294" spans="1:14" ht="15.75" thickBot="1" x14ac:dyDescent="0.3">
      <c r="A294" s="57"/>
      <c r="B294" s="1">
        <v>92</v>
      </c>
      <c r="C294" s="98">
        <v>76.95</v>
      </c>
      <c r="D294" s="98">
        <v>44.95</v>
      </c>
      <c r="E294" s="98">
        <v>68.95</v>
      </c>
      <c r="F294" s="88">
        <v>8</v>
      </c>
      <c r="G294" s="108">
        <v>62.726999999999997</v>
      </c>
      <c r="H294" s="98">
        <v>-0.92119799999999996</v>
      </c>
      <c r="I294" s="81">
        <v>36</v>
      </c>
      <c r="J294" s="80">
        <f t="shared" si="8"/>
        <v>1</v>
      </c>
      <c r="K294" s="97">
        <v>56.95</v>
      </c>
      <c r="L294" s="98">
        <v>-0.52597400000000005</v>
      </c>
      <c r="M294" s="81">
        <v>4</v>
      </c>
      <c r="N294" s="80">
        <f t="shared" si="9"/>
        <v>0</v>
      </c>
    </row>
    <row r="295" spans="1:14" ht="15.75" thickBot="1" x14ac:dyDescent="0.3">
      <c r="A295" s="57"/>
      <c r="B295" s="1">
        <v>93</v>
      </c>
      <c r="C295" s="98">
        <v>10.39</v>
      </c>
      <c r="D295" s="98">
        <v>-5.61</v>
      </c>
      <c r="E295" s="98">
        <v>6.39</v>
      </c>
      <c r="F295" s="88">
        <v>7</v>
      </c>
      <c r="G295" s="108">
        <v>3.5364199999999998E-7</v>
      </c>
      <c r="H295" s="98">
        <v>-4.9481399999999996E-18</v>
      </c>
      <c r="I295" s="81">
        <v>35</v>
      </c>
      <c r="J295" s="80">
        <f t="shared" si="8"/>
        <v>0</v>
      </c>
      <c r="K295" s="97">
        <v>2.8262599999999999E-13</v>
      </c>
      <c r="L295" s="98">
        <v>-7.4493900000000001E-18</v>
      </c>
      <c r="M295" s="81">
        <v>5</v>
      </c>
      <c r="N295" s="80">
        <f t="shared" si="9"/>
        <v>0</v>
      </c>
    </row>
    <row r="296" spans="1:14" ht="15.75" thickBot="1" x14ac:dyDescent="0.3">
      <c r="A296" s="57"/>
      <c r="B296" s="1">
        <v>94</v>
      </c>
      <c r="C296" s="98">
        <v>96.58</v>
      </c>
      <c r="D296" s="98">
        <v>32.58</v>
      </c>
      <c r="E296" s="98">
        <v>80.58</v>
      </c>
      <c r="F296" s="88">
        <v>9</v>
      </c>
      <c r="G296" s="108">
        <v>62.726999999999997</v>
      </c>
      <c r="H296" s="98">
        <v>-0.92119799999999996</v>
      </c>
      <c r="I296" s="81">
        <v>38</v>
      </c>
      <c r="J296" s="80">
        <f t="shared" si="8"/>
        <v>1</v>
      </c>
      <c r="K296" s="97">
        <v>56.58</v>
      </c>
      <c r="L296" s="98">
        <v>-0.486682</v>
      </c>
      <c r="M296" s="81">
        <v>5</v>
      </c>
      <c r="N296" s="80">
        <f t="shared" si="9"/>
        <v>0</v>
      </c>
    </row>
    <row r="297" spans="1:14" ht="15.75" thickBot="1" x14ac:dyDescent="0.3">
      <c r="A297" s="57"/>
      <c r="B297" s="1">
        <v>95</v>
      </c>
      <c r="C297" s="98">
        <v>-26.49</v>
      </c>
      <c r="D297" s="98">
        <v>-10.49</v>
      </c>
      <c r="E297" s="98">
        <v>37.51</v>
      </c>
      <c r="F297" s="88">
        <v>8</v>
      </c>
      <c r="G297" s="108">
        <v>-1.4451499999999999E-7</v>
      </c>
      <c r="H297" s="98">
        <v>-7.0316899999999996E-18</v>
      </c>
      <c r="I297" s="81">
        <v>38</v>
      </c>
      <c r="J297" s="80">
        <f t="shared" si="8"/>
        <v>0</v>
      </c>
      <c r="K297" s="97">
        <v>2.4469300000000001E-13</v>
      </c>
      <c r="L297" s="98">
        <v>-7.4493900000000001E-18</v>
      </c>
      <c r="M297" s="81">
        <v>7</v>
      </c>
      <c r="N297" s="80">
        <f t="shared" si="9"/>
        <v>0</v>
      </c>
    </row>
    <row r="298" spans="1:14" ht="15.75" thickBot="1" x14ac:dyDescent="0.3">
      <c r="A298" s="57"/>
      <c r="B298" s="1">
        <v>96</v>
      </c>
      <c r="C298" s="98">
        <v>59.56</v>
      </c>
      <c r="D298" s="98">
        <v>61.56</v>
      </c>
      <c r="E298" s="98">
        <v>67.56</v>
      </c>
      <c r="F298" s="88">
        <v>5</v>
      </c>
      <c r="G298" s="108">
        <v>62.726999999999997</v>
      </c>
      <c r="H298" s="98">
        <v>-0.92119799999999996</v>
      </c>
      <c r="I298" s="81">
        <v>34</v>
      </c>
      <c r="J298" s="80">
        <f t="shared" si="8"/>
        <v>1</v>
      </c>
      <c r="K298" s="97">
        <v>62.667400000000001</v>
      </c>
      <c r="L298" s="98">
        <v>-0.92114499999999999</v>
      </c>
      <c r="M298" s="81">
        <v>5</v>
      </c>
      <c r="N298" s="80">
        <f t="shared" si="9"/>
        <v>1</v>
      </c>
    </row>
    <row r="299" spans="1:14" ht="15.75" thickBot="1" x14ac:dyDescent="0.3">
      <c r="A299" s="57"/>
      <c r="B299" s="1">
        <v>97</v>
      </c>
      <c r="C299" s="98">
        <v>-83.05</v>
      </c>
      <c r="D299" s="98">
        <v>-51.05</v>
      </c>
      <c r="E299" s="98">
        <v>44.95</v>
      </c>
      <c r="F299" s="88">
        <v>9</v>
      </c>
      <c r="G299" s="108">
        <v>1.09935E-7</v>
      </c>
      <c r="H299" s="98">
        <v>-7.2076699999999998E-18</v>
      </c>
      <c r="I299" s="81">
        <v>39</v>
      </c>
      <c r="J299" s="80">
        <f t="shared" si="8"/>
        <v>0</v>
      </c>
      <c r="K299" s="97">
        <v>-3.05</v>
      </c>
      <c r="L299" s="98">
        <v>1.8605E-4</v>
      </c>
      <c r="M299" s="81">
        <v>4</v>
      </c>
      <c r="N299" s="80">
        <f t="shared" si="9"/>
        <v>0</v>
      </c>
    </row>
    <row r="300" spans="1:14" ht="15.75" thickBot="1" x14ac:dyDescent="0.3">
      <c r="A300" s="57"/>
      <c r="B300" s="1">
        <v>98</v>
      </c>
      <c r="C300" s="98">
        <v>-91.56</v>
      </c>
      <c r="D300" s="98">
        <v>-59.56</v>
      </c>
      <c r="E300" s="98">
        <v>36.44</v>
      </c>
      <c r="F300" s="88">
        <v>9</v>
      </c>
      <c r="G300" s="108">
        <v>-3.1074500000000002E-7</v>
      </c>
      <c r="H300" s="98">
        <v>-5.5181299999999999E-18</v>
      </c>
      <c r="I300" s="81">
        <v>39</v>
      </c>
      <c r="J300" s="80">
        <f t="shared" si="8"/>
        <v>0</v>
      </c>
      <c r="K300" s="97">
        <v>-11.56</v>
      </c>
      <c r="L300" s="98">
        <v>2.6726699999999998E-3</v>
      </c>
      <c r="M300" s="81">
        <v>4</v>
      </c>
      <c r="N300" s="80">
        <f t="shared" si="9"/>
        <v>0</v>
      </c>
    </row>
    <row r="301" spans="1:14" ht="15.75" thickBot="1" x14ac:dyDescent="0.3">
      <c r="A301" s="57"/>
      <c r="B301" s="1">
        <v>99</v>
      </c>
      <c r="C301" s="98">
        <v>80.58</v>
      </c>
      <c r="D301" s="98">
        <v>48.58</v>
      </c>
      <c r="E301" s="98">
        <v>72.58</v>
      </c>
      <c r="F301" s="88">
        <v>8</v>
      </c>
      <c r="G301" s="108">
        <v>62.726999999999997</v>
      </c>
      <c r="H301" s="98">
        <v>-0.92119799999999996</v>
      </c>
      <c r="I301" s="81">
        <v>36</v>
      </c>
      <c r="J301" s="80">
        <f t="shared" si="8"/>
        <v>1</v>
      </c>
      <c r="K301" s="97">
        <v>60.58</v>
      </c>
      <c r="L301" s="98">
        <v>-0.85447899999999999</v>
      </c>
      <c r="M301" s="81">
        <v>4</v>
      </c>
      <c r="N301" s="80">
        <f t="shared" si="9"/>
        <v>1</v>
      </c>
    </row>
    <row r="302" spans="1:14" ht="15.75" thickBot="1" x14ac:dyDescent="0.3">
      <c r="A302" s="58"/>
      <c r="B302" s="3">
        <v>100</v>
      </c>
      <c r="C302" s="100">
        <v>-41.6</v>
      </c>
      <c r="D302" s="106">
        <v>-25.6</v>
      </c>
      <c r="E302" s="106">
        <v>22.4</v>
      </c>
      <c r="F302" s="91">
        <v>8</v>
      </c>
      <c r="G302" s="109">
        <v>3.54172E-7</v>
      </c>
      <c r="H302" s="100">
        <v>-4.9406299999999997E-18</v>
      </c>
      <c r="I302" s="82">
        <v>38</v>
      </c>
      <c r="J302" s="80">
        <f t="shared" si="8"/>
        <v>0</v>
      </c>
      <c r="K302" s="99">
        <v>-1.6</v>
      </c>
      <c r="L302" s="100">
        <v>5.1199999999999998E-5</v>
      </c>
      <c r="M302" s="82">
        <v>4</v>
      </c>
      <c r="N302" s="80">
        <f t="shared" si="9"/>
        <v>0</v>
      </c>
    </row>
    <row r="303" spans="1:14" ht="15.75" thickBot="1" x14ac:dyDescent="0.3">
      <c r="A303" s="47" t="s">
        <v>7</v>
      </c>
      <c r="B303" s="48"/>
      <c r="C303" s="48"/>
      <c r="D303" s="29">
        <v>-100</v>
      </c>
      <c r="E303" s="30">
        <v>100</v>
      </c>
      <c r="F303" s="92">
        <v>0</v>
      </c>
      <c r="G303" s="23" t="s">
        <v>28</v>
      </c>
      <c r="H303" s="22" t="s">
        <v>27</v>
      </c>
      <c r="I303" s="85">
        <v>41</v>
      </c>
      <c r="J303" s="80">
        <f t="shared" si="8"/>
        <v>1</v>
      </c>
      <c r="K303" s="24">
        <v>0</v>
      </c>
      <c r="L303" s="22" t="s">
        <v>27</v>
      </c>
      <c r="M303" s="85">
        <v>5</v>
      </c>
      <c r="N303" s="80">
        <f t="shared" si="9"/>
        <v>0</v>
      </c>
    </row>
  </sheetData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Normal="100" workbookViewId="0">
      <selection activeCell="E42" sqref="E42"/>
    </sheetView>
  </sheetViews>
  <sheetFormatPr defaultRowHeight="15" x14ac:dyDescent="0.25"/>
  <cols>
    <col min="1" max="3" width="15.7109375" customWidth="1"/>
    <col min="4" max="4" width="20.42578125" customWidth="1"/>
    <col min="5" max="12" width="15.7109375" customWidth="1"/>
  </cols>
  <sheetData>
    <row r="1" spans="1:12" ht="30" customHeight="1" x14ac:dyDescent="0.25">
      <c r="A1" s="68" t="s">
        <v>0</v>
      </c>
      <c r="B1" s="70" t="s">
        <v>6</v>
      </c>
      <c r="C1" s="70"/>
      <c r="D1" s="71" t="s">
        <v>17</v>
      </c>
      <c r="E1" s="53" t="s">
        <v>8</v>
      </c>
      <c r="F1" s="54"/>
      <c r="G1" s="54"/>
      <c r="H1" s="61"/>
      <c r="I1" s="67" t="s">
        <v>9</v>
      </c>
      <c r="J1" s="50"/>
      <c r="K1" s="50"/>
      <c r="L1" s="52"/>
    </row>
    <row r="2" spans="1:12" ht="30" customHeight="1" thickBot="1" x14ac:dyDescent="0.3">
      <c r="A2" s="69"/>
      <c r="B2" s="34" t="s">
        <v>12</v>
      </c>
      <c r="C2" s="40" t="s">
        <v>3</v>
      </c>
      <c r="D2" s="72"/>
      <c r="E2" s="27" t="s">
        <v>10</v>
      </c>
      <c r="F2" s="26" t="s">
        <v>11</v>
      </c>
      <c r="G2" s="46" t="s">
        <v>3</v>
      </c>
      <c r="H2" s="28" t="s">
        <v>22</v>
      </c>
      <c r="I2" s="25" t="s">
        <v>10</v>
      </c>
      <c r="J2" s="26" t="s">
        <v>11</v>
      </c>
      <c r="K2" s="46" t="s">
        <v>3</v>
      </c>
      <c r="L2" s="28" t="s">
        <v>22</v>
      </c>
    </row>
    <row r="3" spans="1:12" ht="15.75" thickBot="1" x14ac:dyDescent="0.3">
      <c r="A3" s="64">
        <v>1.1000000000000001</v>
      </c>
      <c r="B3" s="93">
        <f>AVERAGE('Tabela 1'!E3:E102)-AVERAGE('Tabela 1'!D3:D102)</f>
        <v>6.980008950000002</v>
      </c>
      <c r="C3" s="93">
        <f>AVERAGE('Tabela 1'!F3:F102)</f>
        <v>36.450000000000003</v>
      </c>
      <c r="D3" s="41" t="s">
        <v>18</v>
      </c>
      <c r="E3" s="19" cm="1">
        <f t="array" ref="E3">AVERAGE(IF('Tabela 1'!$J3:$J102 = 1,'Tabela 1'!G3:G102))</f>
        <v>62.634533333333323</v>
      </c>
      <c r="F3" s="19" cm="1">
        <f t="array" ref="F3">AVERAGE(IF('Tabela 1'!$J3:$J102 = 1,'Tabela 1'!H3:H102))</f>
        <v>-0.91930373333333348</v>
      </c>
      <c r="G3" s="19" cm="1">
        <f t="array" ref="G3">AVERAGE(IF('Tabela 1'!$J3:$J102 = 1,'Tabela 1'!I3:I102))</f>
        <v>29.733333333333334</v>
      </c>
      <c r="H3" s="16">
        <f>COUNTIF('Tabela 1'!J$3:J$102,1)</f>
        <v>15</v>
      </c>
      <c r="I3" s="19" cm="1">
        <f t="array" ref="I3">AVERAGE(IF('Tabela 1'!$N3:$N102 = 1,'Tabela 1'!K3:K102))</f>
        <v>62.470686666666673</v>
      </c>
      <c r="J3" s="19" cm="1">
        <f t="array" ref="J3">AVERAGE(IF('Tabela 1'!$N3:$N102 = 1,'Tabela 1'!L3:L102))</f>
        <v>-0.9172134666666667</v>
      </c>
      <c r="K3" s="19" cm="1">
        <f t="array" ref="K3">AVERAGE(IF('Tabela 1'!$N3:$N102 = 1,'Tabela 1'!M3:M102))</f>
        <v>4.7333333333333334</v>
      </c>
      <c r="L3" s="16">
        <f>COUNTIF('Tabela 1'!N$3:N$102,1)</f>
        <v>15</v>
      </c>
    </row>
    <row r="4" spans="1:12" x14ac:dyDescent="0.25">
      <c r="A4" s="65"/>
      <c r="B4" s="94"/>
      <c r="C4" s="94"/>
      <c r="D4" s="42" t="s">
        <v>19</v>
      </c>
      <c r="E4" s="19" cm="1">
        <f t="array" ref="E4">AVERAGE(IF('Tabela 1'!$J3:$J102 = 0,'Tabela 1'!G3:G102))</f>
        <v>-9.5294458404341191E-3</v>
      </c>
      <c r="F4" s="19" cm="1">
        <f t="array" ref="F4">AVERAGE(IF('Tabela 1'!$J3:$J102 = 0,'Tabela 1'!H3:H102))</f>
        <v>1.5437647058196851E-7</v>
      </c>
      <c r="G4" s="19" cm="1">
        <f t="array" ref="G4">AVERAGE(IF('Tabela 1'!$J3:$J102 = 0,'Tabela 1'!I3:I102))</f>
        <v>33.011764705882356</v>
      </c>
      <c r="H4" s="16">
        <f>COUNTIF('Tabela 1'!J$3:J$102,0)</f>
        <v>85</v>
      </c>
      <c r="I4" s="19" cm="1">
        <f t="array" ref="I4">AVERAGE(IF('Tabela 1'!$N3:$N102 = 0,'Tabela 1'!K3:K102))</f>
        <v>-0.43475429529791015</v>
      </c>
      <c r="J4" s="19" cm="1">
        <f t="array" ref="J4">AVERAGE(IF('Tabela 1'!$N3:$N102 = 0,'Tabela 1'!L3:L102))</f>
        <v>1.487218268234883E-5</v>
      </c>
      <c r="K4" s="19" cm="1">
        <f t="array" ref="K4">AVERAGE(IF('Tabela 1'!$N3:$N102 = 0,'Tabela 1'!M3:M102))</f>
        <v>4.5411764705882351</v>
      </c>
      <c r="L4" s="16">
        <f>COUNTIF('Tabela 1'!N$3:N$102,0)</f>
        <v>85</v>
      </c>
    </row>
    <row r="5" spans="1:12" ht="15.75" thickBot="1" x14ac:dyDescent="0.3">
      <c r="A5" s="66"/>
      <c r="B5" s="95"/>
      <c r="C5" s="95"/>
      <c r="D5" s="45" t="s">
        <v>21</v>
      </c>
      <c r="E5" s="62"/>
      <c r="F5" s="63"/>
      <c r="G5" s="20">
        <v>0</v>
      </c>
      <c r="H5" s="21">
        <v>0</v>
      </c>
      <c r="I5" s="62"/>
      <c r="J5" s="63"/>
      <c r="K5" s="20">
        <v>0</v>
      </c>
      <c r="L5" s="21">
        <v>0</v>
      </c>
    </row>
    <row r="6" spans="1:12" ht="15.75" thickBot="1" x14ac:dyDescent="0.3">
      <c r="A6" s="64">
        <v>1.5</v>
      </c>
      <c r="B6" s="93">
        <f>AVERAGE('Tabela 1'!E103:E202)-AVERAGE('Tabela 1'!D103:D202)</f>
        <v>31.938358399999998</v>
      </c>
      <c r="C6" s="93">
        <f>AVERAGE('Tabela 1'!F103:F202)</f>
        <v>10.95</v>
      </c>
      <c r="D6" s="41" t="s">
        <v>18</v>
      </c>
      <c r="E6" s="19" cm="1">
        <f t="array" ref="E6">AVERAGE(IF('Tabela 1'!$J103:$J202 = 1,'Tabela 1'!G103:G202))</f>
        <v>62.727000000000025</v>
      </c>
      <c r="F6" s="19" cm="1">
        <f t="array" ref="F6">AVERAGE(IF('Tabela 1'!$J103:$J202 = 1,'Tabela 1'!H103:H202))</f>
        <v>-0.92119800000000029</v>
      </c>
      <c r="G6" s="19" cm="1">
        <f t="array" ref="G6">AVERAGE(IF('Tabela 1'!$J103:$J202 = 1,'Tabela 1'!I103:I202))</f>
        <v>35.357142857142854</v>
      </c>
      <c r="H6" s="16">
        <f>COUNTIF('Tabela 1'!J$103:J$202,1)</f>
        <v>28</v>
      </c>
      <c r="I6" s="19" cm="1">
        <f t="array" ref="I6">AVERAGE(IF('Tabela 1'!$J103:$J202 = 1,'Tabela 1'!K103:K202))</f>
        <v>61.51805357142856</v>
      </c>
      <c r="J6" s="19" cm="1">
        <f t="array" ref="J6">AVERAGE(IF('Tabela 1'!$J103:$J202 = 1,'Tabela 1'!L103:L202))</f>
        <v>-0.84247835714285713</v>
      </c>
      <c r="K6" s="19" cm="1">
        <f t="array" ref="K6">AVERAGE(IF('Tabela 1'!$J103:$J202 = 1,'Tabela 1'!M103:M202))</f>
        <v>5.25</v>
      </c>
      <c r="L6" s="16">
        <f>COUNTIF('Tabela 1'!N$103:N$202,1)</f>
        <v>22</v>
      </c>
    </row>
    <row r="7" spans="1:12" x14ac:dyDescent="0.25">
      <c r="A7" s="65"/>
      <c r="B7" s="94"/>
      <c r="C7" s="94"/>
      <c r="D7" s="42" t="s">
        <v>19</v>
      </c>
      <c r="E7" s="19" cm="1">
        <f t="array" ref="E7">AVERAGE(IF('Tabela 1'!$J103:$J202 = 0,'Tabela 1'!G103:G202))</f>
        <v>-1.1805586522820934E-2</v>
      </c>
      <c r="F7" s="19" cm="1">
        <f t="array" ref="F7">AVERAGE(IF('Tabela 1'!$J103:$J202 = 0,'Tabela 1'!H103:H202))</f>
        <v>2.0069444443801022E-7</v>
      </c>
      <c r="G7" s="19" cm="1">
        <f t="array" ref="G7">AVERAGE(IF('Tabela 1'!$J103:$J202 = 0,'Tabela 1'!I103:I202))</f>
        <v>35.791666666666664</v>
      </c>
      <c r="H7" s="16">
        <f>COUNTIF('Tabela 1'!J$103:J$202,0)</f>
        <v>72</v>
      </c>
      <c r="I7" s="19" cm="1">
        <f t="array" ref="I7">AVERAGE(IF('Tabela 1'!$J103:$J202 = 0,'Tabela 1'!K103:K202))</f>
        <v>-1.3565631555363922</v>
      </c>
      <c r="J7" s="19" cm="1">
        <f t="array" ref="J7">AVERAGE(IF('Tabela 1'!$J103:$J202 = 0,'Tabela 1'!L103:L202))</f>
        <v>1.7736994612452839E-4</v>
      </c>
      <c r="K7" s="19" cm="1">
        <f t="array" ref="K7">AVERAGE(IF('Tabela 1'!$J103:$J202 = 0,'Tabela 1'!M103:M202))</f>
        <v>4.666666666666667</v>
      </c>
      <c r="L7" s="16">
        <f>COUNTIF('Tabela 1'!N$103:N$202,0)</f>
        <v>78</v>
      </c>
    </row>
    <row r="8" spans="1:12" ht="15.75" thickBot="1" x14ac:dyDescent="0.3">
      <c r="A8" s="66"/>
      <c r="B8" s="95"/>
      <c r="C8" s="95"/>
      <c r="D8" s="43" t="s">
        <v>21</v>
      </c>
      <c r="E8" s="62"/>
      <c r="F8" s="63"/>
      <c r="G8" s="3">
        <v>0</v>
      </c>
      <c r="H8" s="4">
        <v>0</v>
      </c>
      <c r="I8" s="62"/>
      <c r="J8" s="63"/>
      <c r="K8" s="3">
        <v>0</v>
      </c>
      <c r="L8" s="4">
        <v>0</v>
      </c>
    </row>
    <row r="9" spans="1:12" ht="15.75" thickBot="1" x14ac:dyDescent="0.3">
      <c r="A9" s="64" t="s">
        <v>29</v>
      </c>
      <c r="B9" s="93">
        <f>AVERAGE('Tabela 1'!E203:E302)-AVERAGE('Tabela 1'!D203:D302)</f>
        <v>67.569999999999979</v>
      </c>
      <c r="C9" s="93">
        <f>AVERAGE('Tabela 1'!F203:F302)</f>
        <v>7.8</v>
      </c>
      <c r="D9" s="44" t="s">
        <v>18</v>
      </c>
      <c r="E9" s="19" cm="1">
        <f t="array" ref="E9">AVERAGE(IF('Tabela 1'!$J203:$J302 = 1,'Tabela 1'!G203:G302))</f>
        <v>62.727000000000011</v>
      </c>
      <c r="F9" s="19" cm="1">
        <f t="array" ref="F9">AVERAGE(IF('Tabela 1'!$J203:$J302 = 1,'Tabela 1'!H203:H302))</f>
        <v>-0.92119800000000018</v>
      </c>
      <c r="G9" s="19" cm="1">
        <f t="array" ref="G9">AVERAGE(IF('Tabela 1'!$J203:$J302 = 1,'Tabela 1'!I203:I302))</f>
        <v>37.388888888888886</v>
      </c>
      <c r="H9" s="16">
        <f>COUNTIF('Tabela 1'!J$203:J$302,1)</f>
        <v>36</v>
      </c>
      <c r="I9" s="19" cm="1">
        <f t="array" ref="I9">AVERAGE(IF('Tabela 1'!$J203:$J302 = 1,'Tabela 1'!K203:K302))</f>
        <v>56.066688386111117</v>
      </c>
      <c r="J9" s="19" cm="1">
        <f t="array" ref="J9">AVERAGE(IF('Tabela 1'!$J203:$J302 = 1,'Tabela 1'!L203:L302))</f>
        <v>-0.44421456365743023</v>
      </c>
      <c r="K9" s="19" cm="1">
        <f t="array" ref="K9">AVERAGE(IF('Tabela 1'!$J203:$J302 = 1,'Tabela 1'!M203:M302))</f>
        <v>4.666666666666667</v>
      </c>
      <c r="L9" s="16">
        <f>COUNTIF('Tabela 1'!N$203:N$302,1)</f>
        <v>29</v>
      </c>
    </row>
    <row r="10" spans="1:12" x14ac:dyDescent="0.25">
      <c r="A10" s="65"/>
      <c r="B10" s="94"/>
      <c r="C10" s="94"/>
      <c r="D10" s="42" t="s">
        <v>19</v>
      </c>
      <c r="E10" s="19" cm="1">
        <f t="array" ref="E10">AVERAGE(IF('Tabela 1'!$J203:$J302 = 0,'Tabela 1'!G203:G302))</f>
        <v>2.8593748107132805E-2</v>
      </c>
      <c r="F10" s="19" cm="1">
        <f t="array" ref="F10">AVERAGE(IF('Tabela 1'!$J203:$J302 = 0,'Tabela 1'!H203:H302))</f>
        <v>2.8634062499939094E-6</v>
      </c>
      <c r="G10" s="19" cm="1">
        <f t="array" ref="G10">AVERAGE(IF('Tabela 1'!$J203:$J302 = 0,'Tabela 1'!I203:I302))</f>
        <v>36.671875</v>
      </c>
      <c r="H10" s="16">
        <f>COUNTIF('Tabela 1'!J$203:J$302,0)</f>
        <v>64</v>
      </c>
      <c r="I10" s="19" cm="1">
        <f t="array" ref="I10">AVERAGE(IF('Tabela 1'!$J203:$J302 = 0,'Tabela 1'!K203:K302))</f>
        <v>4.9257111112435013</v>
      </c>
      <c r="J10" s="19" cm="1">
        <f t="array" ref="J10">AVERAGE(IF('Tabela 1'!$J203:$J302 = 0,'Tabela 1'!L203:L302))</f>
        <v>-7.9012138606677385E-2</v>
      </c>
      <c r="K10" s="19" cm="1">
        <f t="array" ref="K10">AVERAGE(IF('Tabela 1'!$J203:$J302 = 0,'Tabela 1'!M203:M302))</f>
        <v>4.640625</v>
      </c>
      <c r="L10" s="16">
        <f>COUNTIF('Tabela 1'!N$203:N$302,0)</f>
        <v>71</v>
      </c>
    </row>
    <row r="11" spans="1:12" ht="15.75" thickBot="1" x14ac:dyDescent="0.3">
      <c r="A11" s="66"/>
      <c r="B11" s="95"/>
      <c r="C11" s="95"/>
      <c r="D11" s="43" t="s">
        <v>21</v>
      </c>
      <c r="E11" s="62"/>
      <c r="F11" s="63"/>
      <c r="G11" s="3">
        <v>0</v>
      </c>
      <c r="H11" s="4">
        <v>0</v>
      </c>
      <c r="I11" s="62"/>
      <c r="J11" s="63"/>
      <c r="K11" s="3">
        <v>0</v>
      </c>
      <c r="L11" s="4">
        <v>0</v>
      </c>
    </row>
    <row r="13" spans="1:12" x14ac:dyDescent="0.25">
      <c r="E13" t="s">
        <v>30</v>
      </c>
      <c r="F13" t="s">
        <v>31</v>
      </c>
    </row>
  </sheetData>
  <mergeCells count="20">
    <mergeCell ref="E1:H1"/>
    <mergeCell ref="I1:L1"/>
    <mergeCell ref="A1:A2"/>
    <mergeCell ref="B1:C1"/>
    <mergeCell ref="D1:D2"/>
    <mergeCell ref="C3:C5"/>
    <mergeCell ref="C6:C8"/>
    <mergeCell ref="A3:A5"/>
    <mergeCell ref="A6:A8"/>
    <mergeCell ref="B3:B5"/>
    <mergeCell ref="B6:B8"/>
    <mergeCell ref="A9:A11"/>
    <mergeCell ref="B9:B11"/>
    <mergeCell ref="C9:C11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>
      <selection activeCell="E53" sqref="E53"/>
    </sheetView>
  </sheetViews>
  <sheetFormatPr defaultRowHeight="15" x14ac:dyDescent="0.25"/>
  <cols>
    <col min="1" max="1" width="10.7109375" customWidth="1"/>
    <col min="2" max="3" width="20.7109375" customWidth="1"/>
  </cols>
  <sheetData>
    <row r="1" spans="1:3" ht="15" customHeight="1" x14ac:dyDescent="0.25">
      <c r="A1" s="73" t="s">
        <v>13</v>
      </c>
      <c r="B1" s="55" t="s">
        <v>12</v>
      </c>
      <c r="C1" s="74"/>
    </row>
    <row r="2" spans="1:3" ht="45" customHeight="1" x14ac:dyDescent="0.25">
      <c r="A2" s="112"/>
      <c r="B2" s="25" t="s">
        <v>8</v>
      </c>
      <c r="C2" s="28" t="s">
        <v>9</v>
      </c>
    </row>
    <row r="3" spans="1:3" x14ac:dyDescent="0.25">
      <c r="A3" s="1">
        <v>1</v>
      </c>
      <c r="B3" s="96">
        <v>200</v>
      </c>
      <c r="C3" s="1">
        <v>200</v>
      </c>
    </row>
    <row r="4" spans="1:3" x14ac:dyDescent="0.25">
      <c r="A4" s="1">
        <v>2</v>
      </c>
      <c r="B4" s="96">
        <v>200</v>
      </c>
      <c r="C4" s="1">
        <v>200</v>
      </c>
    </row>
    <row r="5" spans="1:3" x14ac:dyDescent="0.25">
      <c r="A5" s="1">
        <v>3</v>
      </c>
      <c r="B5" s="96">
        <v>200</v>
      </c>
      <c r="C5" s="1">
        <v>200</v>
      </c>
    </row>
    <row r="6" spans="1:3" x14ac:dyDescent="0.25">
      <c r="A6" s="1">
        <v>4</v>
      </c>
      <c r="B6" s="96">
        <v>123.607</v>
      </c>
      <c r="C6" s="1">
        <v>200</v>
      </c>
    </row>
    <row r="7" spans="1:3" x14ac:dyDescent="0.25">
      <c r="A7" s="1">
        <v>5</v>
      </c>
      <c r="B7" s="96">
        <v>76.393199999999993</v>
      </c>
      <c r="C7" s="1">
        <v>100</v>
      </c>
    </row>
    <row r="8" spans="1:3" x14ac:dyDescent="0.25">
      <c r="A8" s="1">
        <v>6</v>
      </c>
      <c r="B8" s="96">
        <v>47.2136</v>
      </c>
      <c r="C8" s="1"/>
    </row>
    <row r="9" spans="1:3" x14ac:dyDescent="0.25">
      <c r="A9" s="1">
        <v>7</v>
      </c>
      <c r="B9" s="96">
        <v>29.179600000000001</v>
      </c>
      <c r="C9" s="1"/>
    </row>
    <row r="10" spans="1:3" x14ac:dyDescent="0.25">
      <c r="A10" s="1">
        <v>8</v>
      </c>
      <c r="B10" s="96">
        <v>18.033999999999999</v>
      </c>
      <c r="C10" s="1"/>
    </row>
    <row r="11" spans="1:3" x14ac:dyDescent="0.25">
      <c r="A11" s="1">
        <v>9</v>
      </c>
      <c r="B11" s="96">
        <v>11.1456</v>
      </c>
      <c r="C11" s="1"/>
    </row>
    <row r="12" spans="1:3" x14ac:dyDescent="0.25">
      <c r="A12" s="1">
        <v>10</v>
      </c>
      <c r="B12" s="96">
        <v>6.8883700000000001</v>
      </c>
      <c r="C12" s="1"/>
    </row>
    <row r="13" spans="1:3" x14ac:dyDescent="0.25">
      <c r="A13" s="1">
        <v>11</v>
      </c>
      <c r="B13" s="96">
        <v>4.25725</v>
      </c>
      <c r="C13" s="1"/>
    </row>
    <row r="14" spans="1:3" x14ac:dyDescent="0.25">
      <c r="A14" s="1">
        <v>12</v>
      </c>
      <c r="B14" s="96">
        <v>2.6311200000000001</v>
      </c>
      <c r="C14" s="1"/>
    </row>
    <row r="15" spans="1:3" x14ac:dyDescent="0.25">
      <c r="A15" s="1">
        <v>13</v>
      </c>
      <c r="B15" s="96">
        <v>1.62612</v>
      </c>
      <c r="C15" s="1"/>
    </row>
    <row r="16" spans="1:3" x14ac:dyDescent="0.25">
      <c r="A16" s="1">
        <v>14</v>
      </c>
      <c r="B16" s="96">
        <v>1.0049999999999999</v>
      </c>
      <c r="C16" s="1"/>
    </row>
    <row r="17" spans="1:3" x14ac:dyDescent="0.25">
      <c r="A17" s="1">
        <v>15</v>
      </c>
      <c r="B17" s="96">
        <v>0.62112400000000001</v>
      </c>
      <c r="C17" s="1"/>
    </row>
    <row r="18" spans="1:3" x14ac:dyDescent="0.25">
      <c r="A18" s="1">
        <v>16</v>
      </c>
      <c r="B18" s="96">
        <v>0.383876</v>
      </c>
      <c r="C18" s="1"/>
    </row>
    <row r="19" spans="1:3" x14ac:dyDescent="0.25">
      <c r="A19" s="1">
        <v>17</v>
      </c>
      <c r="B19" s="96">
        <v>0.23724799999999999</v>
      </c>
      <c r="C19" s="1"/>
    </row>
    <row r="20" spans="1:3" x14ac:dyDescent="0.25">
      <c r="A20" s="1">
        <v>18</v>
      </c>
      <c r="B20" s="96">
        <v>0.14662700000000001</v>
      </c>
      <c r="C20" s="1"/>
    </row>
    <row r="21" spans="1:3" x14ac:dyDescent="0.25">
      <c r="A21" s="1">
        <v>19</v>
      </c>
      <c r="B21" s="96">
        <v>9.0620800000000001E-2</v>
      </c>
      <c r="C21" s="1"/>
    </row>
    <row r="22" spans="1:3" x14ac:dyDescent="0.25">
      <c r="A22" s="1">
        <v>20</v>
      </c>
      <c r="B22" s="96">
        <v>5.60067E-2</v>
      </c>
      <c r="C22" s="1"/>
    </row>
    <row r="23" spans="1:3" x14ac:dyDescent="0.25">
      <c r="A23" s="1">
        <v>21</v>
      </c>
      <c r="B23" s="96">
        <v>3.4614100000000002E-2</v>
      </c>
      <c r="C23" s="1"/>
    </row>
    <row r="24" spans="1:3" x14ac:dyDescent="0.25">
      <c r="A24" s="1">
        <v>22</v>
      </c>
      <c r="B24" s="96">
        <v>2.1392700000000001E-2</v>
      </c>
      <c r="C24" s="1"/>
    </row>
    <row r="25" spans="1:3" x14ac:dyDescent="0.25">
      <c r="A25" s="1">
        <v>23</v>
      </c>
      <c r="B25" s="96">
        <v>1.3221399999999999E-2</v>
      </c>
      <c r="C25" s="1"/>
    </row>
    <row r="26" spans="1:3" x14ac:dyDescent="0.25">
      <c r="A26" s="1">
        <v>24</v>
      </c>
      <c r="B26" s="96">
        <v>8.1712699999999996E-3</v>
      </c>
      <c r="C26" s="1"/>
    </row>
    <row r="27" spans="1:3" x14ac:dyDescent="0.25">
      <c r="A27" s="1">
        <v>25</v>
      </c>
      <c r="B27" s="96">
        <v>5.05012E-3</v>
      </c>
      <c r="C27" s="1"/>
    </row>
    <row r="28" spans="1:3" x14ac:dyDescent="0.25">
      <c r="A28" s="1">
        <v>26</v>
      </c>
      <c r="B28" s="96">
        <v>3.1211500000000001E-3</v>
      </c>
      <c r="C28" s="1"/>
    </row>
    <row r="29" spans="1:3" x14ac:dyDescent="0.25">
      <c r="A29" s="1">
        <v>27</v>
      </c>
      <c r="B29" s="96">
        <v>1.9289800000000001E-3</v>
      </c>
      <c r="C29" s="1"/>
    </row>
    <row r="30" spans="1:3" x14ac:dyDescent="0.25">
      <c r="A30" s="1">
        <v>28</v>
      </c>
      <c r="B30" s="96">
        <v>1.19217E-3</v>
      </c>
      <c r="C30" s="1"/>
    </row>
    <row r="31" spans="1:3" x14ac:dyDescent="0.25">
      <c r="A31" s="1">
        <v>29</v>
      </c>
      <c r="B31" s="96">
        <v>7.3680299999999996E-4</v>
      </c>
      <c r="C31" s="1"/>
    </row>
    <row r="32" spans="1:3" x14ac:dyDescent="0.25">
      <c r="A32" s="1">
        <v>30</v>
      </c>
      <c r="B32" s="96">
        <v>4.5537000000000003E-4</v>
      </c>
      <c r="C32" s="1"/>
    </row>
    <row r="33" spans="1:3" x14ac:dyDescent="0.25">
      <c r="A33" s="1">
        <v>31</v>
      </c>
      <c r="B33" s="96">
        <v>2.8143299999999999E-4</v>
      </c>
      <c r="C33" s="1"/>
    </row>
    <row r="34" spans="1:3" x14ac:dyDescent="0.25">
      <c r="A34" s="1">
        <v>32</v>
      </c>
      <c r="B34" s="96">
        <v>1.73936E-4</v>
      </c>
      <c r="C34" s="1"/>
    </row>
    <row r="35" spans="1:3" x14ac:dyDescent="0.25">
      <c r="A35" s="1">
        <v>33</v>
      </c>
      <c r="B35" s="96">
        <v>1.07497E-4</v>
      </c>
      <c r="C35" s="1"/>
    </row>
    <row r="36" spans="1:3" x14ac:dyDescent="0.25">
      <c r="A36" s="1">
        <v>34</v>
      </c>
      <c r="B36" s="96">
        <v>6.6439200000000006E-5</v>
      </c>
      <c r="C36" s="1"/>
    </row>
    <row r="37" spans="1:3" x14ac:dyDescent="0.25">
      <c r="A37" s="1">
        <v>35</v>
      </c>
      <c r="B37" s="96">
        <v>4.1057899999999999E-5</v>
      </c>
      <c r="C37" s="1"/>
    </row>
    <row r="38" spans="1:3" x14ac:dyDescent="0.25">
      <c r="A38" s="1">
        <v>36</v>
      </c>
      <c r="B38" s="96">
        <v>2.53813E-5</v>
      </c>
      <c r="C38" s="1"/>
    </row>
    <row r="39" spans="1:3" x14ac:dyDescent="0.25">
      <c r="A39" s="1">
        <v>37</v>
      </c>
      <c r="B39" s="96">
        <v>1.5676699999999998E-5</v>
      </c>
      <c r="C39" s="1"/>
    </row>
    <row r="40" spans="1:3" x14ac:dyDescent="0.25">
      <c r="A40" s="1">
        <v>38</v>
      </c>
      <c r="B40" s="96">
        <v>9.7046000000000002E-6</v>
      </c>
      <c r="C40" s="1"/>
    </row>
    <row r="41" spans="1:3" x14ac:dyDescent="0.25">
      <c r="A41" s="1">
        <v>39</v>
      </c>
      <c r="B41" s="96">
        <v>5.9720599999999997E-6</v>
      </c>
      <c r="C41" s="1"/>
    </row>
    <row r="42" spans="1:3" x14ac:dyDescent="0.25">
      <c r="A42" s="1">
        <v>40</v>
      </c>
      <c r="B42" s="96">
        <v>3.7325400000000001E-6</v>
      </c>
      <c r="C42" s="1"/>
    </row>
    <row r="43" spans="1:3" x14ac:dyDescent="0.25">
      <c r="A43" s="1">
        <v>41</v>
      </c>
      <c r="B43" s="96">
        <v>2.23952E-6</v>
      </c>
      <c r="C43" s="1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zoomScale="175" zoomScaleNormal="175" workbookViewId="0">
      <selection activeCell="F6" sqref="F6"/>
    </sheetView>
  </sheetViews>
  <sheetFormatPr defaultRowHeight="15" x14ac:dyDescent="0.25"/>
  <cols>
    <col min="1" max="6" width="15.7109375" customWidth="1"/>
  </cols>
  <sheetData>
    <row r="1" spans="1:6" ht="30" customHeight="1" x14ac:dyDescent="0.25">
      <c r="A1" s="53" t="s">
        <v>8</v>
      </c>
      <c r="B1" s="54"/>
      <c r="C1" s="61"/>
      <c r="D1" s="67" t="s">
        <v>9</v>
      </c>
      <c r="E1" s="50"/>
      <c r="F1" s="52"/>
    </row>
    <row r="2" spans="1:6" ht="30" customHeight="1" thickBot="1" x14ac:dyDescent="0.3">
      <c r="A2" s="27" t="s">
        <v>23</v>
      </c>
      <c r="B2" s="26" t="s">
        <v>11</v>
      </c>
      <c r="C2" s="28" t="s">
        <v>3</v>
      </c>
      <c r="D2" s="25" t="s">
        <v>23</v>
      </c>
      <c r="E2" s="26" t="s">
        <v>11</v>
      </c>
      <c r="F2" s="28" t="s">
        <v>3</v>
      </c>
    </row>
    <row r="3" spans="1:6" ht="15.75" thickBot="1" x14ac:dyDescent="0.3">
      <c r="A3" s="29"/>
      <c r="B3" s="30"/>
      <c r="C3" s="31"/>
      <c r="D3" s="32"/>
      <c r="E3" s="30"/>
      <c r="F3" s="31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tabSelected="1" workbookViewId="0">
      <selection activeCell="R33" sqref="R33"/>
    </sheetView>
  </sheetViews>
  <sheetFormatPr defaultRowHeight="15" x14ac:dyDescent="0.25"/>
  <cols>
    <col min="1" max="7" width="12.7109375" customWidth="1"/>
  </cols>
  <sheetData>
    <row r="1" spans="1:7" ht="18" x14ac:dyDescent="0.35">
      <c r="A1" s="78" t="s">
        <v>14</v>
      </c>
      <c r="B1" s="75" t="s">
        <v>24</v>
      </c>
      <c r="C1" s="76"/>
      <c r="D1" s="56" t="s">
        <v>25</v>
      </c>
      <c r="E1" s="77"/>
      <c r="F1" s="75" t="s">
        <v>26</v>
      </c>
      <c r="G1" s="77"/>
    </row>
    <row r="2" spans="1:7" ht="15.75" thickBot="1" x14ac:dyDescent="0.3">
      <c r="A2" s="79"/>
      <c r="B2" s="38" t="s">
        <v>15</v>
      </c>
      <c r="C2" s="39" t="s">
        <v>16</v>
      </c>
      <c r="D2" s="33" t="s">
        <v>15</v>
      </c>
      <c r="E2" s="37" t="s">
        <v>16</v>
      </c>
      <c r="F2" s="38" t="s">
        <v>15</v>
      </c>
      <c r="G2" s="37" t="s">
        <v>16</v>
      </c>
    </row>
    <row r="3" spans="1:7" x14ac:dyDescent="0.25">
      <c r="A3" s="35"/>
      <c r="B3" s="17"/>
      <c r="C3" s="18"/>
      <c r="D3" s="19"/>
      <c r="E3" s="16"/>
      <c r="F3" s="17"/>
      <c r="G3" s="16"/>
    </row>
    <row r="4" spans="1:7" x14ac:dyDescent="0.25">
      <c r="A4" s="36"/>
      <c r="B4" s="10"/>
      <c r="C4" s="12"/>
      <c r="D4" s="14"/>
      <c r="E4" s="2"/>
      <c r="F4" s="10"/>
      <c r="G4" s="2"/>
    </row>
    <row r="5" spans="1:7" x14ac:dyDescent="0.25">
      <c r="A5" s="36"/>
      <c r="B5" s="10"/>
      <c r="C5" s="12"/>
      <c r="D5" s="14"/>
      <c r="E5" s="2"/>
      <c r="F5" s="10"/>
      <c r="G5" s="2"/>
    </row>
    <row r="6" spans="1:7" x14ac:dyDescent="0.25">
      <c r="A6" s="36"/>
      <c r="B6" s="10"/>
      <c r="C6" s="12"/>
      <c r="D6" s="14"/>
      <c r="E6" s="2"/>
      <c r="F6" s="10"/>
      <c r="G6" s="2"/>
    </row>
    <row r="7" spans="1:7" x14ac:dyDescent="0.25">
      <c r="A7" s="36"/>
      <c r="B7" s="10"/>
      <c r="C7" s="12"/>
      <c r="D7" s="14"/>
      <c r="E7" s="2"/>
      <c r="F7" s="10"/>
      <c r="G7" s="2"/>
    </row>
    <row r="8" spans="1:7" x14ac:dyDescent="0.25">
      <c r="A8" s="36"/>
      <c r="B8" s="10"/>
      <c r="C8" s="12"/>
      <c r="D8" s="14"/>
      <c r="E8" s="2"/>
      <c r="F8" s="10"/>
      <c r="G8" s="2"/>
    </row>
    <row r="9" spans="1:7" x14ac:dyDescent="0.25">
      <c r="A9" s="36"/>
      <c r="B9" s="10"/>
      <c r="C9" s="12"/>
      <c r="D9" s="14"/>
      <c r="E9" s="2"/>
      <c r="F9" s="10"/>
      <c r="G9" s="2"/>
    </row>
    <row r="10" spans="1:7" x14ac:dyDescent="0.25">
      <c r="A10" s="36"/>
      <c r="B10" s="10"/>
      <c r="C10" s="12"/>
      <c r="D10" s="14"/>
      <c r="E10" s="2"/>
      <c r="F10" s="10"/>
      <c r="G10" s="2"/>
    </row>
    <row r="11" spans="1:7" x14ac:dyDescent="0.25">
      <c r="A11" s="36"/>
      <c r="B11" s="10"/>
      <c r="C11" s="12"/>
      <c r="D11" s="14"/>
      <c r="E11" s="2"/>
      <c r="F11" s="10"/>
      <c r="G11" s="2"/>
    </row>
    <row r="12" spans="1:7" x14ac:dyDescent="0.25">
      <c r="A12" s="36"/>
      <c r="B12" s="10"/>
      <c r="C12" s="12"/>
      <c r="D12" s="14"/>
      <c r="E12" s="2"/>
      <c r="F12" s="10"/>
      <c r="G12" s="2"/>
    </row>
    <row r="13" spans="1:7" x14ac:dyDescent="0.25">
      <c r="A13" s="36"/>
      <c r="B13" s="10"/>
      <c r="C13" s="12"/>
      <c r="D13" s="14"/>
      <c r="E13" s="2"/>
      <c r="F13" s="10"/>
      <c r="G13" s="2"/>
    </row>
    <row r="14" spans="1:7" x14ac:dyDescent="0.25">
      <c r="A14" s="36"/>
      <c r="B14" s="10"/>
      <c r="C14" s="12"/>
      <c r="D14" s="14"/>
      <c r="E14" s="2"/>
      <c r="F14" s="10"/>
      <c r="G14" s="2"/>
    </row>
    <row r="15" spans="1:7" x14ac:dyDescent="0.25">
      <c r="A15" s="36"/>
      <c r="B15" s="10"/>
      <c r="C15" s="12"/>
      <c r="D15" s="14"/>
      <c r="E15" s="2"/>
      <c r="F15" s="10"/>
      <c r="G15" s="2"/>
    </row>
    <row r="16" spans="1:7" x14ac:dyDescent="0.25">
      <c r="A16" s="36"/>
      <c r="B16" s="10"/>
      <c r="C16" s="12"/>
      <c r="D16" s="14"/>
      <c r="E16" s="2"/>
      <c r="F16" s="10"/>
      <c r="G16" s="2"/>
    </row>
    <row r="17" spans="1:7" x14ac:dyDescent="0.25">
      <c r="A17" s="36"/>
      <c r="B17" s="10"/>
      <c r="C17" s="12"/>
      <c r="D17" s="14"/>
      <c r="E17" s="2"/>
      <c r="F17" s="10"/>
      <c r="G17" s="2"/>
    </row>
    <row r="18" spans="1:7" x14ac:dyDescent="0.25">
      <c r="A18" s="36"/>
      <c r="B18" s="10"/>
      <c r="C18" s="12"/>
      <c r="D18" s="14"/>
      <c r="E18" s="2"/>
      <c r="F18" s="10"/>
      <c r="G18" s="2"/>
    </row>
    <row r="19" spans="1:7" x14ac:dyDescent="0.25">
      <c r="A19" s="36"/>
      <c r="B19" s="10"/>
      <c r="C19" s="12"/>
      <c r="D19" s="14"/>
      <c r="E19" s="2"/>
      <c r="F19" s="10"/>
      <c r="G19" s="2"/>
    </row>
    <row r="20" spans="1:7" x14ac:dyDescent="0.25">
      <c r="A20" s="36"/>
      <c r="B20" s="10"/>
      <c r="C20" s="12"/>
      <c r="D20" s="14"/>
      <c r="E20" s="2"/>
      <c r="F20" s="10"/>
      <c r="G20" s="2"/>
    </row>
    <row r="21" spans="1:7" x14ac:dyDescent="0.25">
      <c r="A21" s="36"/>
      <c r="B21" s="10"/>
      <c r="C21" s="12"/>
      <c r="D21" s="14"/>
      <c r="E21" s="2"/>
      <c r="F21" s="10"/>
      <c r="G21" s="2"/>
    </row>
    <row r="22" spans="1:7" x14ac:dyDescent="0.25">
      <c r="A22" s="36"/>
      <c r="B22" s="10"/>
      <c r="C22" s="12"/>
      <c r="D22" s="14"/>
      <c r="E22" s="2"/>
      <c r="F22" s="10"/>
      <c r="G22" s="2"/>
    </row>
    <row r="23" spans="1:7" x14ac:dyDescent="0.25">
      <c r="A23" s="36"/>
      <c r="B23" s="10"/>
      <c r="C23" s="12"/>
      <c r="D23" s="14"/>
      <c r="E23" s="2"/>
      <c r="F23" s="10"/>
      <c r="G23" s="2"/>
    </row>
    <row r="24" spans="1:7" x14ac:dyDescent="0.25">
      <c r="A24" s="36"/>
      <c r="B24" s="10"/>
      <c r="C24" s="12"/>
      <c r="D24" s="14"/>
      <c r="E24" s="2"/>
      <c r="F24" s="10"/>
      <c r="G24" s="2"/>
    </row>
    <row r="25" spans="1:7" x14ac:dyDescent="0.25">
      <c r="A25" s="36"/>
      <c r="B25" s="10"/>
      <c r="C25" s="12"/>
      <c r="D25" s="14"/>
      <c r="E25" s="2"/>
      <c r="F25" s="10"/>
      <c r="G25" s="2"/>
    </row>
    <row r="26" spans="1:7" x14ac:dyDescent="0.25">
      <c r="A26" s="36"/>
      <c r="B26" s="10"/>
      <c r="C26" s="12"/>
      <c r="D26" s="14"/>
      <c r="E26" s="2"/>
      <c r="F26" s="10"/>
      <c r="G26" s="2"/>
    </row>
    <row r="27" spans="1:7" x14ac:dyDescent="0.25">
      <c r="A27" s="36"/>
      <c r="B27" s="10"/>
      <c r="C27" s="12"/>
      <c r="D27" s="14"/>
      <c r="E27" s="2"/>
      <c r="F27" s="10"/>
      <c r="G27" s="2"/>
    </row>
    <row r="28" spans="1:7" x14ac:dyDescent="0.25">
      <c r="A28" s="36"/>
      <c r="B28" s="10"/>
      <c r="C28" s="12"/>
      <c r="D28" s="14"/>
      <c r="E28" s="2"/>
      <c r="F28" s="10"/>
      <c r="G28" s="2"/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2025-12-06T13:34:32Z</dcterms:modified>
</cp:coreProperties>
</file>